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Przypadki testowe" sheetId="2" state="visible" r:id="rId2"/>
    <sheet xmlns:r="http://schemas.openxmlformats.org/officeDocument/2006/relationships" name="Macierz śledzenia" sheetId="3" state="visible" r:id="rId3"/>
    <sheet xmlns:r="http://schemas.openxmlformats.org/officeDocument/2006/relationships" name="Raporty defektów" sheetId="4" state="visible" r:id="rId4"/>
    <sheet xmlns:r="http://schemas.openxmlformats.org/officeDocument/2006/relationships" name="Lista kontrolna" sheetId="5" state="visible" r:id="rId5"/>
    <sheet xmlns:r="http://schemas.openxmlformats.org/officeDocument/2006/relationships" name="Raport z wykonania" sheetId="6" state="visible" r:id="rId6"/>
  </sheets>
  <definedNames>
    <definedName name="_xlnm._FilterDatabase" localSheetId="1" hidden="1">'Przypadki testowe'!$A$1:$O$1</definedName>
    <definedName name="_xlnm.Print_Titles" localSheetId="1">'Przypadki testowe'!$1:$1</definedName>
    <definedName name="_xlnm._FilterDatabase" localSheetId="2" hidden="1">'Macierz śledzenia'!$A$1:$I$1</definedName>
    <definedName name="_xlnm.Print_Titles" localSheetId="2">'Macierz śledzenia'!$1:$1</definedName>
    <definedName name="_xlnm._FilterDatabase" localSheetId="3" hidden="1">'Raporty defektów'!$A$1:$Q$1</definedName>
    <definedName name="_xlnm.Print_Titles" localSheetId="3">'Raporty defektów'!$1:$1</definedName>
    <definedName name="_xlnm._FilterDatabase" localSheetId="4" hidden="1">'Lista kontrolna'!$A$1:$F$1</definedName>
    <definedName name="_xlnm.Print_Titles" localSheetId="4">'Lista kontrolna'!$1:$1</definedName>
    <definedName name="_xlnm._FilterDatabase" localSheetId="5" hidden="1">'Raport z wykonania'!$A$1:$C$1</definedName>
    <definedName name="_xlnm.Print_Titles" localSheetId="5">'Raport z wykonania'!$1:$1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Szablon dokumentacji testowej</t>
        </is>
      </c>
      <c r="B1" s="2" t="inlineStr">
        <is>
          <t>Testowanie oprogramowania – ćwiczenia 1 (na podstawie ISO/IEC/IEEE 29119-3 i sylabusa ISTQB CTFL 4.0)</t>
        </is>
      </c>
    </row>
    <row r="2">
      <c r="A2" s="3" t="inlineStr">
        <is>
          <t>Autor (imię, nazwisko, nr albumu)</t>
        </is>
      </c>
      <c r="B2" s="4" t="inlineStr"/>
    </row>
    <row r="3">
      <c r="A3" s="3" t="inlineStr">
        <is>
          <t>Grupa / data</t>
        </is>
      </c>
      <c r="B3" s="4" t="inlineStr"/>
    </row>
    <row r="4">
      <c r="A4" s="3" t="inlineStr">
        <is>
          <t>Przedmiot testów</t>
        </is>
      </c>
      <c r="B4" s="4" t="inlineStr">
        <is>
          <t>BiletTO 1.0 – serwis sprzedaży biletów na koncerty (specyfikacja: specyfikacja_BiletTO.md) oraz strony ćwiczeniowe the-internet (https://the-internet.herokuapp.com)</t>
        </is>
      </c>
    </row>
    <row r="5">
      <c r="A5" s="3" t="inlineStr"/>
      <c r="B5" s="4" t="inlineStr"/>
    </row>
    <row r="6">
      <c r="A6" s="5" t="inlineStr">
        <is>
          <t>ARKUSZE</t>
        </is>
      </c>
      <c r="B6" s="4" t="inlineStr"/>
    </row>
    <row r="7">
      <c r="A7" s="3" t="inlineStr">
        <is>
          <t>Przypadki testowe</t>
        </is>
      </c>
      <c r="B7" s="4" t="inlineStr">
        <is>
          <t>Specyfikacja przypadków testowych: jeden wiersz = jeden przypadek. ID w formacie TC-&lt;obszar&gt;-&lt;nr&gt;, np. TC-REJ-001. Kolumnę „Wymaganie” wypełnij identyfikatorami REQ-… (kilka – po przecinku).</t>
        </is>
      </c>
    </row>
    <row r="8">
      <c r="A8" s="3" t="inlineStr">
        <is>
          <t>Macierz śledzenia</t>
        </is>
      </c>
      <c r="B8" s="4" t="inlineStr">
        <is>
          <t>Jeden wiersz = jedno wymaganie. Kolumny „Liczba przypadków”, „Zaliczone”, „Niezaliczone” i „Pokrycie” liczą się same (formuły) na podstawie arkusza „Przypadki testowe”.</t>
        </is>
      </c>
    </row>
    <row r="9">
      <c r="A9" s="3" t="inlineStr">
        <is>
          <t>Raporty defektów</t>
        </is>
      </c>
      <c r="B9" s="4" t="inlineStr">
        <is>
          <t>Jeden wiersz = jeden raport o defekcie (ID: DEF-&lt;nr&gt;). Kroki muszą pozwolić odtworzyć awarię innej osobie. Zrzut ekranu: Win+Shift+S, zapisz jako DEF-&lt;nr&gt;.png i wpisz nazwę pliku w kolumnie „Załączniki”.</t>
        </is>
      </c>
    </row>
    <row r="10">
      <c r="A10" s="3" t="inlineStr">
        <is>
          <t>Lista kontrolna</t>
        </is>
      </c>
      <c r="B10" s="4" t="inlineStr">
        <is>
          <t>Pozycje formułuj jako pytania, na które odpowiedź „Tak” oznacza stan poprawny. Wynik „Nie” → wpisz dowód i (jeśli to defekt) ID raportu.</t>
        </is>
      </c>
    </row>
    <row r="11">
      <c r="A11" s="3" t="inlineStr">
        <is>
          <t>Raport z wykonania</t>
        </is>
      </c>
      <c r="B11" s="4" t="inlineStr">
        <is>
          <t>Podsumowanie wykonania testów. Liczby w kolumnie „Wartość” wyliczają się automatycznie – uzupełnij pola opisowe.</t>
        </is>
      </c>
    </row>
    <row r="12">
      <c r="A12" s="3" t="inlineStr"/>
      <c r="B12" s="4" t="inlineStr"/>
    </row>
    <row r="13">
      <c r="A13" s="5" t="inlineStr">
        <is>
          <t>STATUS PRZYPADKU</t>
        </is>
      </c>
      <c r="B13" s="4" t="inlineStr">
        <is>
          <t>Nie wykonano – jeszcze nie uruchomiony; Zaliczony – rzeczywisty rezultat = oczekiwany; Niezaliczony – rozbieżność (wpisz ID defektu); Zablokowany – nie da się wykonać (np. brak środowiska, inny defekt); Pominięty – świadomie nie wykonano (podaj powód w uwagach).</t>
        </is>
      </c>
    </row>
    <row r="14">
      <c r="A14" s="3" t="inlineStr">
        <is>
          <t>WAŻNOŚĆ (severity)</t>
        </is>
      </c>
      <c r="B14" s="4" t="inlineStr">
        <is>
          <t>Wpływ defektu na system/użytkownika: Krytyczna – awaria uniemożliwia korzystanie z kluczowej funkcji, utrata danych, bezpieczeństwo; Wysoka – ważna funkcja działa błędnie, brak obejścia; Średnia – błąd z obejściem lub w mniej ważnej funkcji; Niska – kosmetyka, literówki, drobne niedogodności.</t>
        </is>
      </c>
    </row>
    <row r="15">
      <c r="A15" s="3" t="inlineStr">
        <is>
          <t>PRIORYTET (priority)</t>
        </is>
      </c>
      <c r="B15" s="4" t="inlineStr">
        <is>
          <t>Pilność naprawy z punktu widzenia biznesu: Wysoki – naprawić natychmiast / przed wydaniem; Średni – w najbliższym cyklu; Niski – gdy będzie czas. Ważność i priorytet to dwie różne oceny (np. literówka w nazwie firmy na stronie głównej: niska ważność, wysoki priorytet).</t>
        </is>
      </c>
    </row>
    <row r="16">
      <c r="A16" s="5" t="inlineStr">
        <is>
          <t>CYKL ŻYCIA DEFEKTU</t>
        </is>
      </c>
      <c r="B16" s="4" t="inlineStr">
        <is>
          <t>Nowy → Otwarty → W naprawie → Naprawiony → Do retestu → Zamknięty; ewentualnie Odrzucony (to nie defekt / nie do odtworzenia), Odroczony (naprawa później), Ponownie otwarty (retest nieudany).</t>
        </is>
      </c>
    </row>
    <row r="17">
      <c r="A17" s="5" t="inlineStr">
        <is>
          <t>TECHNIKA</t>
        </is>
      </c>
      <c r="B17" s="4" t="inlineStr">
        <is>
          <t>EP – podział na klasy równoważności; AWB – analiza wartości brzegowych; Doświadczenie – zgadywanie błędów, testowanie eksploracyjne; Na podstawie wymagania – test wyprowadzony wprost z treści wymagania.</t>
        </is>
      </c>
    </row>
    <row r="18">
      <c r="A18" s="3" t="inlineStr">
        <is>
          <t>Wiersze przykładowe</t>
        </is>
      </c>
      <c r="B18" s="4" t="inlineStr">
        <is>
          <t>Wiersze wyróżnione żółtym tłem są przykładami – usuń je lub zastąp własnymi przed oddaniem.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6" customWidth="1" min="3" max="3"/>
    <col width="15" customWidth="1" min="4" max="4"/>
    <col width="10" customWidth="1" min="5" max="5"/>
    <col width="30" customWidth="1" min="6" max="6"/>
    <col width="32" customWidth="1" min="7" max="7"/>
    <col width="44" customWidth="1" min="8" max="8"/>
    <col width="42" customWidth="1" min="9" max="9"/>
    <col width="30" customWidth="1" min="10" max="10"/>
    <col width="14" customWidth="1" min="11" max="11"/>
    <col width="11" customWidth="1" min="12" max="12"/>
    <col width="12" customWidth="1" min="13" max="13"/>
    <col width="13" customWidth="1" min="14" max="14"/>
    <col width="28" customWidth="1" min="15" max="15"/>
  </cols>
  <sheetData>
    <row r="1" ht="32" customHeight="1">
      <c r="A1" s="6" t="inlineStr">
        <is>
          <t>ID</t>
        </is>
      </c>
      <c r="B1" s="6" t="inlineStr">
        <is>
          <t>Tytuł</t>
        </is>
      </c>
      <c r="C1" s="6" t="inlineStr">
        <is>
          <t>Wymaganie (REQ-…)</t>
        </is>
      </c>
      <c r="D1" s="6" t="inlineStr">
        <is>
          <t>Technika</t>
        </is>
      </c>
      <c r="E1" s="6" t="inlineStr">
        <is>
          <t>Priorytet</t>
        </is>
      </c>
      <c r="F1" s="6" t="inlineStr">
        <is>
          <t>Warunki wstępne</t>
        </is>
      </c>
      <c r="G1" s="6" t="inlineStr">
        <is>
          <t>Dane testowe</t>
        </is>
      </c>
      <c r="H1" s="6" t="inlineStr">
        <is>
          <t>Kroki</t>
        </is>
      </c>
      <c r="I1" s="6" t="inlineStr">
        <is>
          <t>Oczekiwany rezultat</t>
        </is>
      </c>
      <c r="J1" s="6" t="inlineStr">
        <is>
          <t>Rzeczywisty rezultat</t>
        </is>
      </c>
      <c r="K1" s="6" t="inlineStr">
        <is>
          <t>Status</t>
        </is>
      </c>
      <c r="L1" s="6" t="inlineStr">
        <is>
          <t>ID defektu</t>
        </is>
      </c>
      <c r="M1" s="6" t="inlineStr">
        <is>
          <t>Wykonał</t>
        </is>
      </c>
      <c r="N1" s="6" t="inlineStr">
        <is>
          <t>Data wykonania</t>
        </is>
      </c>
      <c r="O1" s="6" t="inlineStr">
        <is>
          <t>Uwagi</t>
        </is>
      </c>
    </row>
    <row r="2">
      <c r="A2" s="7" t="inlineStr">
        <is>
          <t>TC-REJ-001</t>
        </is>
      </c>
      <c r="B2" s="7" t="inlineStr">
        <is>
          <t>Rejestracja z poprawnymi danymi (bez telefonu)</t>
        </is>
      </c>
      <c r="C2" s="7" t="inlineStr">
        <is>
          <t>REQ-REJ-11</t>
        </is>
      </c>
      <c r="D2" s="7" t="inlineStr">
        <is>
          <t>EP</t>
        </is>
      </c>
      <c r="E2" s="7" t="inlineStr">
        <is>
          <t>Wysoki</t>
        </is>
      </c>
      <c r="F2" s="7" t="inlineStr">
        <is>
          <t>1. Dane początkowe (install.php?reset=1).
2. Konto „ola_fan” nie istnieje.
3. Otwarta strona Rejestracja.</t>
        </is>
      </c>
      <c r="G2" s="7" t="inlineStr">
        <is>
          <t>login: ola_fan
e-mail: ola@example.com
telefon: (puste)
wiek: 25
hasło i powtórzenie: Koncert2026
regulamin: zaznaczony</t>
        </is>
      </c>
      <c r="H2" s="7" t="inlineStr">
        <is>
          <t>1. Wpisz dane testowe w pola formularza.
2. Zaznacz „Akceptuję regulamin”.
3. Kliknij „Załóż konto”.</t>
        </is>
      </c>
      <c r="I2" s="7" t="inlineStr">
        <is>
          <t>Komunikat „Konto zostało utworzone. Możesz się zalogować.”; brak komunikatów o błędach; formularz wyczyszczony.</t>
        </is>
      </c>
      <c r="J2" s="7" t="inlineStr"/>
      <c r="K2" s="7" t="inlineStr">
        <is>
          <t>Nie wykonano</t>
        </is>
      </c>
      <c r="L2" s="7" t="inlineStr"/>
      <c r="M2" s="7" t="inlineStr"/>
      <c r="N2" s="7" t="inlineStr"/>
      <c r="O2" s="7" t="inlineStr">
        <is>
          <t>PRZYKŁAD – usuń lub zastąp</t>
        </is>
      </c>
    </row>
  </sheetData>
  <autoFilter ref="A1:O1"/>
  <dataValidations count="3">
    <dataValidation sqref="D2:D300" showDropDown="0" showInputMessage="1" showErrorMessage="1" allowBlank="1" errorTitle="Technika" error="Wybierz wartość z listy rozwijanej." promptTitle="Technika" prompt="Wybierz z listy" type="list">
      <formula1>"EP,AWB,Tablica decyzyjna,Przejścia stanów,Przypadki użycia,Doświadczenie,Lista kontrolna,Na podstawie wymagania"</formula1>
    </dataValidation>
    <dataValidation sqref="E2:E300" showDropDown="0" showInputMessage="1" showErrorMessage="1" allowBlank="1" errorTitle="Priorytet" error="Wybierz wartość z listy rozwijanej." promptTitle="Priorytet" prompt="Wybierz z listy" type="list">
      <formula1>"Wysoki,Średni,Niski"</formula1>
    </dataValidation>
    <dataValidation sqref="K2:K300" showDropDown="0" showInputMessage="1" showErrorMessage="1" allowBlank="1" errorTitle="Status" error="Wybierz wartość z listy rozwijanej." promptTitle="Status" prompt="Wybierz z listy" type="list">
      <formula1>"Nie wykonano,Zaliczony,Niezaliczony,Zablokowany,Pominięty"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0" customWidth="1" min="2" max="2"/>
    <col width="10" customWidth="1" min="3" max="3"/>
    <col width="34" customWidth="1" min="4" max="4"/>
    <col width="11" customWidth="1" min="5" max="5"/>
    <col width="10" customWidth="1" min="6" max="6"/>
    <col width="11" customWidth="1" min="7" max="7"/>
    <col width="12" customWidth="1" min="8" max="8"/>
    <col width="36" customWidth="1" min="9" max="9"/>
  </cols>
  <sheetData>
    <row r="1" ht="32" customHeight="1">
      <c r="A1" s="6" t="inlineStr">
        <is>
          <t>ID wymagania</t>
        </is>
      </c>
      <c r="B1" s="6" t="inlineStr">
        <is>
          <t>Wymaganie (skrót)</t>
        </is>
      </c>
      <c r="C1" s="6" t="inlineStr">
        <is>
          <t>Priorytet</t>
        </is>
      </c>
      <c r="D1" s="6" t="inlineStr">
        <is>
          <t>Przypadki testowe (ID)</t>
        </is>
      </c>
      <c r="E1" s="6" t="inlineStr">
        <is>
          <t>Liczba przypadków</t>
        </is>
      </c>
      <c r="F1" s="6" t="inlineStr">
        <is>
          <t>Zaliczone</t>
        </is>
      </c>
      <c r="G1" s="6" t="inlineStr">
        <is>
          <t>Niezaliczone</t>
        </is>
      </c>
      <c r="H1" s="6" t="inlineStr">
        <is>
          <t>Pokrycie</t>
        </is>
      </c>
      <c r="I1" s="6" t="inlineStr">
        <is>
          <t>Uwagi</t>
        </is>
      </c>
    </row>
    <row r="2">
      <c r="A2" s="7" t="inlineStr">
        <is>
          <t>REQ-REJ-11</t>
        </is>
      </c>
      <c r="B2" s="7" t="inlineStr">
        <is>
          <t>Poprawny formularz → konto aktywne, komunikat sukcesu</t>
        </is>
      </c>
      <c r="C2" s="7" t="inlineStr">
        <is>
          <t>Wysoki</t>
        </is>
      </c>
      <c r="D2" s="7" t="inlineStr">
        <is>
          <t>TC-REJ-001</t>
        </is>
      </c>
      <c r="E2" s="7">
        <f>IF(A2="","",COUNTIF('Przypadki testowe'!$C$2:$C$300,"*"&amp;A2&amp;"*"))</f>
        <v/>
      </c>
      <c r="F2" s="7">
        <f>IF(A2="","",COUNTIFS('Przypadki testowe'!$C$2:$C$300,"*"&amp;A2&amp;"*",'Przypadki testowe'!$K$2:$K$300,"Zaliczony"))</f>
        <v/>
      </c>
      <c r="G2" s="7">
        <f>IF(A2="","",COUNTIFS('Przypadki testowe'!$C$2:$C$300,"*"&amp;A2&amp;"*",'Przypadki testowe'!$K$2:$K$300,"Niezaliczony"))</f>
        <v/>
      </c>
      <c r="H2" s="7">
        <f>IF(A2="","",IF(E2&gt;0,"Pokryte","BRAK"))</f>
        <v/>
      </c>
      <c r="I2" s="7" t="inlineStr">
        <is>
          <t>PRZYKŁAD – usuń lub zastąp</t>
        </is>
      </c>
    </row>
    <row r="3">
      <c r="E3">
        <f>IF(A3="","",COUNTIF('Przypadki testowe'!$C$2:$C$300,"*"&amp;A3&amp;"*"))</f>
        <v/>
      </c>
      <c r="F3">
        <f>IF(A3="","",COUNTIFS('Przypadki testowe'!$C$2:$C$300,"*"&amp;A3&amp;"*",'Przypadki testowe'!$K$2:$K$300,"Zaliczony"))</f>
        <v/>
      </c>
      <c r="G3">
        <f>IF(A3="","",COUNTIFS('Przypadki testowe'!$C$2:$C$300,"*"&amp;A3&amp;"*",'Przypadki testowe'!$K$2:$K$300,"Niezaliczony"))</f>
        <v/>
      </c>
      <c r="H3">
        <f>IF(A3="","",IF(E3&gt;0,"Pokryte","BRAK"))</f>
        <v/>
      </c>
    </row>
    <row r="4">
      <c r="E4">
        <f>IF(A4="","",COUNTIF('Przypadki testowe'!$C$2:$C$300,"*"&amp;A4&amp;"*"))</f>
        <v/>
      </c>
      <c r="F4">
        <f>IF(A4="","",COUNTIFS('Przypadki testowe'!$C$2:$C$300,"*"&amp;A4&amp;"*",'Przypadki testowe'!$K$2:$K$300,"Zaliczony"))</f>
        <v/>
      </c>
      <c r="G4">
        <f>IF(A4="","",COUNTIFS('Przypadki testowe'!$C$2:$C$300,"*"&amp;A4&amp;"*",'Przypadki testowe'!$K$2:$K$300,"Niezaliczony"))</f>
        <v/>
      </c>
      <c r="H4">
        <f>IF(A4="","",IF(E4&gt;0,"Pokryte","BRAK"))</f>
        <v/>
      </c>
    </row>
    <row r="5">
      <c r="E5">
        <f>IF(A5="","",COUNTIF('Przypadki testowe'!$C$2:$C$300,"*"&amp;A5&amp;"*"))</f>
        <v/>
      </c>
      <c r="F5">
        <f>IF(A5="","",COUNTIFS('Przypadki testowe'!$C$2:$C$300,"*"&amp;A5&amp;"*",'Przypadki testowe'!$K$2:$K$300,"Zaliczony"))</f>
        <v/>
      </c>
      <c r="G5">
        <f>IF(A5="","",COUNTIFS('Przypadki testowe'!$C$2:$C$300,"*"&amp;A5&amp;"*",'Przypadki testowe'!$K$2:$K$300,"Niezaliczony"))</f>
        <v/>
      </c>
      <c r="H5">
        <f>IF(A5="","",IF(E5&gt;0,"Pokryte","BRAK"))</f>
        <v/>
      </c>
    </row>
    <row r="6">
      <c r="E6">
        <f>IF(A6="","",COUNTIF('Przypadki testowe'!$C$2:$C$300,"*"&amp;A6&amp;"*"))</f>
        <v/>
      </c>
      <c r="F6">
        <f>IF(A6="","",COUNTIFS('Przypadki testowe'!$C$2:$C$300,"*"&amp;A6&amp;"*",'Przypadki testowe'!$K$2:$K$300,"Zaliczony"))</f>
        <v/>
      </c>
      <c r="G6">
        <f>IF(A6="","",COUNTIFS('Przypadki testowe'!$C$2:$C$300,"*"&amp;A6&amp;"*",'Przypadki testowe'!$K$2:$K$300,"Niezaliczony"))</f>
        <v/>
      </c>
      <c r="H6">
        <f>IF(A6="","",IF(E6&gt;0,"Pokryte","BRAK"))</f>
        <v/>
      </c>
    </row>
    <row r="7">
      <c r="E7">
        <f>IF(A7="","",COUNTIF('Przypadki testowe'!$C$2:$C$300,"*"&amp;A7&amp;"*"))</f>
        <v/>
      </c>
      <c r="F7">
        <f>IF(A7="","",COUNTIFS('Przypadki testowe'!$C$2:$C$300,"*"&amp;A7&amp;"*",'Przypadki testowe'!$K$2:$K$300,"Zaliczony"))</f>
        <v/>
      </c>
      <c r="G7">
        <f>IF(A7="","",COUNTIFS('Przypadki testowe'!$C$2:$C$300,"*"&amp;A7&amp;"*",'Przypadki testowe'!$K$2:$K$300,"Niezaliczony"))</f>
        <v/>
      </c>
      <c r="H7">
        <f>IF(A7="","",IF(E7&gt;0,"Pokryte","BRAK"))</f>
        <v/>
      </c>
    </row>
    <row r="8">
      <c r="E8">
        <f>IF(A8="","",COUNTIF('Przypadki testowe'!$C$2:$C$300,"*"&amp;A8&amp;"*"))</f>
        <v/>
      </c>
      <c r="F8">
        <f>IF(A8="","",COUNTIFS('Przypadki testowe'!$C$2:$C$300,"*"&amp;A8&amp;"*",'Przypadki testowe'!$K$2:$K$300,"Zaliczony"))</f>
        <v/>
      </c>
      <c r="G8">
        <f>IF(A8="","",COUNTIFS('Przypadki testowe'!$C$2:$C$300,"*"&amp;A8&amp;"*",'Przypadki testowe'!$K$2:$K$300,"Niezaliczony"))</f>
        <v/>
      </c>
      <c r="H8">
        <f>IF(A8="","",IF(E8&gt;0,"Pokryte","BRAK"))</f>
        <v/>
      </c>
    </row>
    <row r="9">
      <c r="E9">
        <f>IF(A9="","",COUNTIF('Przypadki testowe'!$C$2:$C$300,"*"&amp;A9&amp;"*"))</f>
        <v/>
      </c>
      <c r="F9">
        <f>IF(A9="","",COUNTIFS('Przypadki testowe'!$C$2:$C$300,"*"&amp;A9&amp;"*",'Przypadki testowe'!$K$2:$K$300,"Zaliczony"))</f>
        <v/>
      </c>
      <c r="G9">
        <f>IF(A9="","",COUNTIFS('Przypadki testowe'!$C$2:$C$300,"*"&amp;A9&amp;"*",'Przypadki testowe'!$K$2:$K$300,"Niezaliczony"))</f>
        <v/>
      </c>
      <c r="H9">
        <f>IF(A9="","",IF(E9&gt;0,"Pokryte","BRAK"))</f>
        <v/>
      </c>
    </row>
    <row r="10">
      <c r="E10">
        <f>IF(A10="","",COUNTIF('Przypadki testowe'!$C$2:$C$300,"*"&amp;A10&amp;"*"))</f>
        <v/>
      </c>
      <c r="F10">
        <f>IF(A10="","",COUNTIFS('Przypadki testowe'!$C$2:$C$300,"*"&amp;A10&amp;"*",'Przypadki testowe'!$K$2:$K$300,"Zaliczony"))</f>
        <v/>
      </c>
      <c r="G10">
        <f>IF(A10="","",COUNTIFS('Przypadki testowe'!$C$2:$C$300,"*"&amp;A10&amp;"*",'Przypadki testowe'!$K$2:$K$300,"Niezaliczony"))</f>
        <v/>
      </c>
      <c r="H10">
        <f>IF(A10="","",IF(E10&gt;0,"Pokryte","BRAK"))</f>
        <v/>
      </c>
    </row>
    <row r="11">
      <c r="E11">
        <f>IF(A11="","",COUNTIF('Przypadki testowe'!$C$2:$C$300,"*"&amp;A11&amp;"*"))</f>
        <v/>
      </c>
      <c r="F11">
        <f>IF(A11="","",COUNTIFS('Przypadki testowe'!$C$2:$C$300,"*"&amp;A11&amp;"*",'Przypadki testowe'!$K$2:$K$300,"Zaliczony"))</f>
        <v/>
      </c>
      <c r="G11">
        <f>IF(A11="","",COUNTIFS('Przypadki testowe'!$C$2:$C$300,"*"&amp;A11&amp;"*",'Przypadki testowe'!$K$2:$K$300,"Niezaliczony"))</f>
        <v/>
      </c>
      <c r="H11">
        <f>IF(A11="","",IF(E11&gt;0,"Pokryte","BRAK"))</f>
        <v/>
      </c>
    </row>
    <row r="12">
      <c r="E12">
        <f>IF(A12="","",COUNTIF('Przypadki testowe'!$C$2:$C$300,"*"&amp;A12&amp;"*"))</f>
        <v/>
      </c>
      <c r="F12">
        <f>IF(A12="","",COUNTIFS('Przypadki testowe'!$C$2:$C$300,"*"&amp;A12&amp;"*",'Przypadki testowe'!$K$2:$K$300,"Zaliczony"))</f>
        <v/>
      </c>
      <c r="G12">
        <f>IF(A12="","",COUNTIFS('Przypadki testowe'!$C$2:$C$300,"*"&amp;A12&amp;"*",'Przypadki testowe'!$K$2:$K$300,"Niezaliczony"))</f>
        <v/>
      </c>
      <c r="H12">
        <f>IF(A12="","",IF(E12&gt;0,"Pokryte","BRAK"))</f>
        <v/>
      </c>
    </row>
    <row r="13">
      <c r="E13">
        <f>IF(A13="","",COUNTIF('Przypadki testowe'!$C$2:$C$300,"*"&amp;A13&amp;"*"))</f>
        <v/>
      </c>
      <c r="F13">
        <f>IF(A13="","",COUNTIFS('Przypadki testowe'!$C$2:$C$300,"*"&amp;A13&amp;"*",'Przypadki testowe'!$K$2:$K$300,"Zaliczony"))</f>
        <v/>
      </c>
      <c r="G13">
        <f>IF(A13="","",COUNTIFS('Przypadki testowe'!$C$2:$C$300,"*"&amp;A13&amp;"*",'Przypadki testowe'!$K$2:$K$300,"Niezaliczony"))</f>
        <v/>
      </c>
      <c r="H13">
        <f>IF(A13="","",IF(E13&gt;0,"Pokryte","BRAK"))</f>
        <v/>
      </c>
    </row>
    <row r="14">
      <c r="E14">
        <f>IF(A14="","",COUNTIF('Przypadki testowe'!$C$2:$C$300,"*"&amp;A14&amp;"*"))</f>
        <v/>
      </c>
      <c r="F14">
        <f>IF(A14="","",COUNTIFS('Przypadki testowe'!$C$2:$C$300,"*"&amp;A14&amp;"*",'Przypadki testowe'!$K$2:$K$300,"Zaliczony"))</f>
        <v/>
      </c>
      <c r="G14">
        <f>IF(A14="","",COUNTIFS('Przypadki testowe'!$C$2:$C$300,"*"&amp;A14&amp;"*",'Przypadki testowe'!$K$2:$K$300,"Niezaliczony"))</f>
        <v/>
      </c>
      <c r="H14">
        <f>IF(A14="","",IF(E14&gt;0,"Pokryte","BRAK"))</f>
        <v/>
      </c>
    </row>
    <row r="15">
      <c r="E15">
        <f>IF(A15="","",COUNTIF('Przypadki testowe'!$C$2:$C$300,"*"&amp;A15&amp;"*"))</f>
        <v/>
      </c>
      <c r="F15">
        <f>IF(A15="","",COUNTIFS('Przypadki testowe'!$C$2:$C$300,"*"&amp;A15&amp;"*",'Przypadki testowe'!$K$2:$K$300,"Zaliczony"))</f>
        <v/>
      </c>
      <c r="G15">
        <f>IF(A15="","",COUNTIFS('Przypadki testowe'!$C$2:$C$300,"*"&amp;A15&amp;"*",'Przypadki testowe'!$K$2:$K$300,"Niezaliczony"))</f>
        <v/>
      </c>
      <c r="H15">
        <f>IF(A15="","",IF(E15&gt;0,"Pokryte","BRAK"))</f>
        <v/>
      </c>
    </row>
    <row r="16">
      <c r="E16">
        <f>IF(A16="","",COUNTIF('Przypadki testowe'!$C$2:$C$300,"*"&amp;A16&amp;"*"))</f>
        <v/>
      </c>
      <c r="F16">
        <f>IF(A16="","",COUNTIFS('Przypadki testowe'!$C$2:$C$300,"*"&amp;A16&amp;"*",'Przypadki testowe'!$K$2:$K$300,"Zaliczony"))</f>
        <v/>
      </c>
      <c r="G16">
        <f>IF(A16="","",COUNTIFS('Przypadki testowe'!$C$2:$C$300,"*"&amp;A16&amp;"*",'Przypadki testowe'!$K$2:$K$300,"Niezaliczony"))</f>
        <v/>
      </c>
      <c r="H16">
        <f>IF(A16="","",IF(E16&gt;0,"Pokryte","BRAK"))</f>
        <v/>
      </c>
    </row>
    <row r="17">
      <c r="E17">
        <f>IF(A17="","",COUNTIF('Przypadki testowe'!$C$2:$C$300,"*"&amp;A17&amp;"*"))</f>
        <v/>
      </c>
      <c r="F17">
        <f>IF(A17="","",COUNTIFS('Przypadki testowe'!$C$2:$C$300,"*"&amp;A17&amp;"*",'Przypadki testowe'!$K$2:$K$300,"Zaliczony"))</f>
        <v/>
      </c>
      <c r="G17">
        <f>IF(A17="","",COUNTIFS('Przypadki testowe'!$C$2:$C$300,"*"&amp;A17&amp;"*",'Przypadki testowe'!$K$2:$K$300,"Niezaliczony"))</f>
        <v/>
      </c>
      <c r="H17">
        <f>IF(A17="","",IF(E17&gt;0,"Pokryte","BRAK"))</f>
        <v/>
      </c>
    </row>
    <row r="18">
      <c r="E18">
        <f>IF(A18="","",COUNTIF('Przypadki testowe'!$C$2:$C$300,"*"&amp;A18&amp;"*"))</f>
        <v/>
      </c>
      <c r="F18">
        <f>IF(A18="","",COUNTIFS('Przypadki testowe'!$C$2:$C$300,"*"&amp;A18&amp;"*",'Przypadki testowe'!$K$2:$K$300,"Zaliczony"))</f>
        <v/>
      </c>
      <c r="G18">
        <f>IF(A18="","",COUNTIFS('Przypadki testowe'!$C$2:$C$300,"*"&amp;A18&amp;"*",'Przypadki testowe'!$K$2:$K$300,"Niezaliczony"))</f>
        <v/>
      </c>
      <c r="H18">
        <f>IF(A18="","",IF(E18&gt;0,"Pokryte","BRAK"))</f>
        <v/>
      </c>
    </row>
    <row r="19">
      <c r="E19">
        <f>IF(A19="","",COUNTIF('Przypadki testowe'!$C$2:$C$300,"*"&amp;A19&amp;"*"))</f>
        <v/>
      </c>
      <c r="F19">
        <f>IF(A19="","",COUNTIFS('Przypadki testowe'!$C$2:$C$300,"*"&amp;A19&amp;"*",'Przypadki testowe'!$K$2:$K$300,"Zaliczony"))</f>
        <v/>
      </c>
      <c r="G19">
        <f>IF(A19="","",COUNTIFS('Przypadki testowe'!$C$2:$C$300,"*"&amp;A19&amp;"*",'Przypadki testowe'!$K$2:$K$300,"Niezaliczony"))</f>
        <v/>
      </c>
      <c r="H19">
        <f>IF(A19="","",IF(E19&gt;0,"Pokryte","BRAK"))</f>
        <v/>
      </c>
    </row>
    <row r="20">
      <c r="E20">
        <f>IF(A20="","",COUNTIF('Przypadki testowe'!$C$2:$C$300,"*"&amp;A20&amp;"*"))</f>
        <v/>
      </c>
      <c r="F20">
        <f>IF(A20="","",COUNTIFS('Przypadki testowe'!$C$2:$C$300,"*"&amp;A20&amp;"*",'Przypadki testowe'!$K$2:$K$300,"Zaliczony"))</f>
        <v/>
      </c>
      <c r="G20">
        <f>IF(A20="","",COUNTIFS('Przypadki testowe'!$C$2:$C$300,"*"&amp;A20&amp;"*",'Przypadki testowe'!$K$2:$K$300,"Niezaliczony"))</f>
        <v/>
      </c>
      <c r="H20">
        <f>IF(A20="","",IF(E20&gt;0,"Pokryte","BRAK"))</f>
        <v/>
      </c>
    </row>
    <row r="21">
      <c r="E21">
        <f>IF(A21="","",COUNTIF('Przypadki testowe'!$C$2:$C$300,"*"&amp;A21&amp;"*"))</f>
        <v/>
      </c>
      <c r="F21">
        <f>IF(A21="","",COUNTIFS('Przypadki testowe'!$C$2:$C$300,"*"&amp;A21&amp;"*",'Przypadki testowe'!$K$2:$K$300,"Zaliczony"))</f>
        <v/>
      </c>
      <c r="G21">
        <f>IF(A21="","",COUNTIFS('Przypadki testowe'!$C$2:$C$300,"*"&amp;A21&amp;"*",'Przypadki testowe'!$K$2:$K$300,"Niezaliczony"))</f>
        <v/>
      </c>
      <c r="H21">
        <f>IF(A21="","",IF(E21&gt;0,"Pokryte","BRAK"))</f>
        <v/>
      </c>
    </row>
    <row r="22">
      <c r="E22">
        <f>IF(A22="","",COUNTIF('Przypadki testowe'!$C$2:$C$300,"*"&amp;A22&amp;"*"))</f>
        <v/>
      </c>
      <c r="F22">
        <f>IF(A22="","",COUNTIFS('Przypadki testowe'!$C$2:$C$300,"*"&amp;A22&amp;"*",'Przypadki testowe'!$K$2:$K$300,"Zaliczony"))</f>
        <v/>
      </c>
      <c r="G22">
        <f>IF(A22="","",COUNTIFS('Przypadki testowe'!$C$2:$C$300,"*"&amp;A22&amp;"*",'Przypadki testowe'!$K$2:$K$300,"Niezaliczony"))</f>
        <v/>
      </c>
      <c r="H22">
        <f>IF(A22="","",IF(E22&gt;0,"Pokryte","BRAK"))</f>
        <v/>
      </c>
    </row>
    <row r="23">
      <c r="E23">
        <f>IF(A23="","",COUNTIF('Przypadki testowe'!$C$2:$C$300,"*"&amp;A23&amp;"*"))</f>
        <v/>
      </c>
      <c r="F23">
        <f>IF(A23="","",COUNTIFS('Przypadki testowe'!$C$2:$C$300,"*"&amp;A23&amp;"*",'Przypadki testowe'!$K$2:$K$300,"Zaliczony"))</f>
        <v/>
      </c>
      <c r="G23">
        <f>IF(A23="","",COUNTIFS('Przypadki testowe'!$C$2:$C$300,"*"&amp;A23&amp;"*",'Przypadki testowe'!$K$2:$K$300,"Niezaliczony"))</f>
        <v/>
      </c>
      <c r="H23">
        <f>IF(A23="","",IF(E23&gt;0,"Pokryte","BRAK"))</f>
        <v/>
      </c>
    </row>
    <row r="24">
      <c r="E24">
        <f>IF(A24="","",COUNTIF('Przypadki testowe'!$C$2:$C$300,"*"&amp;A24&amp;"*"))</f>
        <v/>
      </c>
      <c r="F24">
        <f>IF(A24="","",COUNTIFS('Przypadki testowe'!$C$2:$C$300,"*"&amp;A24&amp;"*",'Przypadki testowe'!$K$2:$K$300,"Zaliczony"))</f>
        <v/>
      </c>
      <c r="G24">
        <f>IF(A24="","",COUNTIFS('Przypadki testowe'!$C$2:$C$300,"*"&amp;A24&amp;"*",'Przypadki testowe'!$K$2:$K$300,"Niezaliczony"))</f>
        <v/>
      </c>
      <c r="H24">
        <f>IF(A24="","",IF(E24&gt;0,"Pokryte","BRAK"))</f>
        <v/>
      </c>
    </row>
    <row r="25">
      <c r="E25">
        <f>IF(A25="","",COUNTIF('Przypadki testowe'!$C$2:$C$300,"*"&amp;A25&amp;"*"))</f>
        <v/>
      </c>
      <c r="F25">
        <f>IF(A25="","",COUNTIFS('Przypadki testowe'!$C$2:$C$300,"*"&amp;A25&amp;"*",'Przypadki testowe'!$K$2:$K$300,"Zaliczony"))</f>
        <v/>
      </c>
      <c r="G25">
        <f>IF(A25="","",COUNTIFS('Przypadki testowe'!$C$2:$C$300,"*"&amp;A25&amp;"*",'Przypadki testowe'!$K$2:$K$300,"Niezaliczony"))</f>
        <v/>
      </c>
      <c r="H25">
        <f>IF(A25="","",IF(E25&gt;0,"Pokryte","BRAK"))</f>
        <v/>
      </c>
    </row>
    <row r="26">
      <c r="E26">
        <f>IF(A26="","",COUNTIF('Przypadki testowe'!$C$2:$C$300,"*"&amp;A26&amp;"*"))</f>
        <v/>
      </c>
      <c r="F26">
        <f>IF(A26="","",COUNTIFS('Przypadki testowe'!$C$2:$C$300,"*"&amp;A26&amp;"*",'Przypadki testowe'!$K$2:$K$300,"Zaliczony"))</f>
        <v/>
      </c>
      <c r="G26">
        <f>IF(A26="","",COUNTIFS('Przypadki testowe'!$C$2:$C$300,"*"&amp;A26&amp;"*",'Przypadki testowe'!$K$2:$K$300,"Niezaliczony"))</f>
        <v/>
      </c>
      <c r="H26">
        <f>IF(A26="","",IF(E26&gt;0,"Pokryte","BRAK"))</f>
        <v/>
      </c>
    </row>
    <row r="27">
      <c r="E27">
        <f>IF(A27="","",COUNTIF('Przypadki testowe'!$C$2:$C$300,"*"&amp;A27&amp;"*"))</f>
        <v/>
      </c>
      <c r="F27">
        <f>IF(A27="","",COUNTIFS('Przypadki testowe'!$C$2:$C$300,"*"&amp;A27&amp;"*",'Przypadki testowe'!$K$2:$K$300,"Zaliczony"))</f>
        <v/>
      </c>
      <c r="G27">
        <f>IF(A27="","",COUNTIFS('Przypadki testowe'!$C$2:$C$300,"*"&amp;A27&amp;"*",'Przypadki testowe'!$K$2:$K$300,"Niezaliczony"))</f>
        <v/>
      </c>
      <c r="H27">
        <f>IF(A27="","",IF(E27&gt;0,"Pokryte","BRAK"))</f>
        <v/>
      </c>
    </row>
    <row r="28">
      <c r="E28">
        <f>IF(A28="","",COUNTIF('Przypadki testowe'!$C$2:$C$300,"*"&amp;A28&amp;"*"))</f>
        <v/>
      </c>
      <c r="F28">
        <f>IF(A28="","",COUNTIFS('Przypadki testowe'!$C$2:$C$300,"*"&amp;A28&amp;"*",'Przypadki testowe'!$K$2:$K$300,"Zaliczony"))</f>
        <v/>
      </c>
      <c r="G28">
        <f>IF(A28="","",COUNTIFS('Przypadki testowe'!$C$2:$C$300,"*"&amp;A28&amp;"*",'Przypadki testowe'!$K$2:$K$300,"Niezaliczony"))</f>
        <v/>
      </c>
      <c r="H28">
        <f>IF(A28="","",IF(E28&gt;0,"Pokryte","BRAK"))</f>
        <v/>
      </c>
    </row>
    <row r="29">
      <c r="E29">
        <f>IF(A29="","",COUNTIF('Przypadki testowe'!$C$2:$C$300,"*"&amp;A29&amp;"*"))</f>
        <v/>
      </c>
      <c r="F29">
        <f>IF(A29="","",COUNTIFS('Przypadki testowe'!$C$2:$C$300,"*"&amp;A29&amp;"*",'Przypadki testowe'!$K$2:$K$300,"Zaliczony"))</f>
        <v/>
      </c>
      <c r="G29">
        <f>IF(A29="","",COUNTIFS('Przypadki testowe'!$C$2:$C$300,"*"&amp;A29&amp;"*",'Przypadki testowe'!$K$2:$K$300,"Niezaliczony"))</f>
        <v/>
      </c>
      <c r="H29">
        <f>IF(A29="","",IF(E29&gt;0,"Pokryte","BRAK"))</f>
        <v/>
      </c>
    </row>
    <row r="30">
      <c r="E30">
        <f>IF(A30="","",COUNTIF('Przypadki testowe'!$C$2:$C$300,"*"&amp;A30&amp;"*"))</f>
        <v/>
      </c>
      <c r="F30">
        <f>IF(A30="","",COUNTIFS('Przypadki testowe'!$C$2:$C$300,"*"&amp;A30&amp;"*",'Przypadki testowe'!$K$2:$K$300,"Zaliczony"))</f>
        <v/>
      </c>
      <c r="G30">
        <f>IF(A30="","",COUNTIFS('Przypadki testowe'!$C$2:$C$300,"*"&amp;A30&amp;"*",'Przypadki testowe'!$K$2:$K$300,"Niezaliczony"))</f>
        <v/>
      </c>
      <c r="H30">
        <f>IF(A30="","",IF(E30&gt;0,"Pokryte","BRAK"))</f>
        <v/>
      </c>
    </row>
    <row r="31">
      <c r="E31">
        <f>IF(A31="","",COUNTIF('Przypadki testowe'!$C$2:$C$300,"*"&amp;A31&amp;"*"))</f>
        <v/>
      </c>
      <c r="F31">
        <f>IF(A31="","",COUNTIFS('Przypadki testowe'!$C$2:$C$300,"*"&amp;A31&amp;"*",'Przypadki testowe'!$K$2:$K$300,"Zaliczony"))</f>
        <v/>
      </c>
      <c r="G31">
        <f>IF(A31="","",COUNTIFS('Przypadki testowe'!$C$2:$C$300,"*"&amp;A31&amp;"*",'Przypadki testowe'!$K$2:$K$300,"Niezaliczony"))</f>
        <v/>
      </c>
      <c r="H31">
        <f>IF(A31="","",IF(E31&gt;0,"Pokryte","BRAK"))</f>
        <v/>
      </c>
    </row>
    <row r="32">
      <c r="E32">
        <f>IF(A32="","",COUNTIF('Przypadki testowe'!$C$2:$C$300,"*"&amp;A32&amp;"*"))</f>
        <v/>
      </c>
      <c r="F32">
        <f>IF(A32="","",COUNTIFS('Przypadki testowe'!$C$2:$C$300,"*"&amp;A32&amp;"*",'Przypadki testowe'!$K$2:$K$300,"Zaliczony"))</f>
        <v/>
      </c>
      <c r="G32">
        <f>IF(A32="","",COUNTIFS('Przypadki testowe'!$C$2:$C$300,"*"&amp;A32&amp;"*",'Przypadki testowe'!$K$2:$K$300,"Niezaliczony"))</f>
        <v/>
      </c>
      <c r="H32">
        <f>IF(A32="","",IF(E32&gt;0,"Pokryte","BRAK"))</f>
        <v/>
      </c>
    </row>
    <row r="33">
      <c r="E33">
        <f>IF(A33="","",COUNTIF('Przypadki testowe'!$C$2:$C$300,"*"&amp;A33&amp;"*"))</f>
        <v/>
      </c>
      <c r="F33">
        <f>IF(A33="","",COUNTIFS('Przypadki testowe'!$C$2:$C$300,"*"&amp;A33&amp;"*",'Przypadki testowe'!$K$2:$K$300,"Zaliczony"))</f>
        <v/>
      </c>
      <c r="G33">
        <f>IF(A33="","",COUNTIFS('Przypadki testowe'!$C$2:$C$300,"*"&amp;A33&amp;"*",'Przypadki testowe'!$K$2:$K$300,"Niezaliczony"))</f>
        <v/>
      </c>
      <c r="H33">
        <f>IF(A33="","",IF(E33&gt;0,"Pokryte","BRAK"))</f>
        <v/>
      </c>
    </row>
    <row r="34">
      <c r="E34">
        <f>IF(A34="","",COUNTIF('Przypadki testowe'!$C$2:$C$300,"*"&amp;A34&amp;"*"))</f>
        <v/>
      </c>
      <c r="F34">
        <f>IF(A34="","",COUNTIFS('Przypadki testowe'!$C$2:$C$300,"*"&amp;A34&amp;"*",'Przypadki testowe'!$K$2:$K$300,"Zaliczony"))</f>
        <v/>
      </c>
      <c r="G34">
        <f>IF(A34="","",COUNTIFS('Przypadki testowe'!$C$2:$C$300,"*"&amp;A34&amp;"*",'Przypadki testowe'!$K$2:$K$300,"Niezaliczony"))</f>
        <v/>
      </c>
      <c r="H34">
        <f>IF(A34="","",IF(E34&gt;0,"Pokryte","BRAK"))</f>
        <v/>
      </c>
    </row>
    <row r="35">
      <c r="E35">
        <f>IF(A35="","",COUNTIF('Przypadki testowe'!$C$2:$C$300,"*"&amp;A35&amp;"*"))</f>
        <v/>
      </c>
      <c r="F35">
        <f>IF(A35="","",COUNTIFS('Przypadki testowe'!$C$2:$C$300,"*"&amp;A35&amp;"*",'Przypadki testowe'!$K$2:$K$300,"Zaliczony"))</f>
        <v/>
      </c>
      <c r="G35">
        <f>IF(A35="","",COUNTIFS('Przypadki testowe'!$C$2:$C$300,"*"&amp;A35&amp;"*",'Przypadki testowe'!$K$2:$K$300,"Niezaliczony"))</f>
        <v/>
      </c>
      <c r="H35">
        <f>IF(A35="","",IF(E35&gt;0,"Pokryte","BRAK"))</f>
        <v/>
      </c>
    </row>
    <row r="36">
      <c r="E36">
        <f>IF(A36="","",COUNTIF('Przypadki testowe'!$C$2:$C$300,"*"&amp;A36&amp;"*"))</f>
        <v/>
      </c>
      <c r="F36">
        <f>IF(A36="","",COUNTIFS('Przypadki testowe'!$C$2:$C$300,"*"&amp;A36&amp;"*",'Przypadki testowe'!$K$2:$K$300,"Zaliczony"))</f>
        <v/>
      </c>
      <c r="G36">
        <f>IF(A36="","",COUNTIFS('Przypadki testowe'!$C$2:$C$300,"*"&amp;A36&amp;"*",'Przypadki testowe'!$K$2:$K$300,"Niezaliczony"))</f>
        <v/>
      </c>
      <c r="H36">
        <f>IF(A36="","",IF(E36&gt;0,"Pokryte","BRAK"))</f>
        <v/>
      </c>
    </row>
    <row r="37">
      <c r="E37">
        <f>IF(A37="","",COUNTIF('Przypadki testowe'!$C$2:$C$300,"*"&amp;A37&amp;"*"))</f>
        <v/>
      </c>
      <c r="F37">
        <f>IF(A37="","",COUNTIFS('Przypadki testowe'!$C$2:$C$300,"*"&amp;A37&amp;"*",'Przypadki testowe'!$K$2:$K$300,"Zaliczony"))</f>
        <v/>
      </c>
      <c r="G37">
        <f>IF(A37="","",COUNTIFS('Przypadki testowe'!$C$2:$C$300,"*"&amp;A37&amp;"*",'Przypadki testowe'!$K$2:$K$300,"Niezaliczony"))</f>
        <v/>
      </c>
      <c r="H37">
        <f>IF(A37="","",IF(E37&gt;0,"Pokryte","BRAK"))</f>
        <v/>
      </c>
    </row>
    <row r="38">
      <c r="E38">
        <f>IF(A38="","",COUNTIF('Przypadki testowe'!$C$2:$C$300,"*"&amp;A38&amp;"*"))</f>
        <v/>
      </c>
      <c r="F38">
        <f>IF(A38="","",COUNTIFS('Przypadki testowe'!$C$2:$C$300,"*"&amp;A38&amp;"*",'Przypadki testowe'!$K$2:$K$300,"Zaliczony"))</f>
        <v/>
      </c>
      <c r="G38">
        <f>IF(A38="","",COUNTIFS('Przypadki testowe'!$C$2:$C$300,"*"&amp;A38&amp;"*",'Przypadki testowe'!$K$2:$K$300,"Niezaliczony"))</f>
        <v/>
      </c>
      <c r="H38">
        <f>IF(A38="","",IF(E38&gt;0,"Pokryte","BRAK"))</f>
        <v/>
      </c>
    </row>
    <row r="39">
      <c r="E39">
        <f>IF(A39="","",COUNTIF('Przypadki testowe'!$C$2:$C$300,"*"&amp;A39&amp;"*"))</f>
        <v/>
      </c>
      <c r="F39">
        <f>IF(A39="","",COUNTIFS('Przypadki testowe'!$C$2:$C$300,"*"&amp;A39&amp;"*",'Przypadki testowe'!$K$2:$K$300,"Zaliczony"))</f>
        <v/>
      </c>
      <c r="G39">
        <f>IF(A39="","",COUNTIFS('Przypadki testowe'!$C$2:$C$300,"*"&amp;A39&amp;"*",'Przypadki testowe'!$K$2:$K$300,"Niezaliczony"))</f>
        <v/>
      </c>
      <c r="H39">
        <f>IF(A39="","",IF(E39&gt;0,"Pokryte","BRAK"))</f>
        <v/>
      </c>
    </row>
    <row r="40">
      <c r="E40">
        <f>IF(A40="","",COUNTIF('Przypadki testowe'!$C$2:$C$300,"*"&amp;A40&amp;"*"))</f>
        <v/>
      </c>
      <c r="F40">
        <f>IF(A40="","",COUNTIFS('Przypadki testowe'!$C$2:$C$300,"*"&amp;A40&amp;"*",'Przypadki testowe'!$K$2:$K$300,"Zaliczony"))</f>
        <v/>
      </c>
      <c r="G40">
        <f>IF(A40="","",COUNTIFS('Przypadki testowe'!$C$2:$C$300,"*"&amp;A40&amp;"*",'Przypadki testowe'!$K$2:$K$300,"Niezaliczony"))</f>
        <v/>
      </c>
      <c r="H40">
        <f>IF(A40="","",IF(E40&gt;0,"Pokryte","BRAK"))</f>
        <v/>
      </c>
    </row>
    <row r="41">
      <c r="E41">
        <f>IF(A41="","",COUNTIF('Przypadki testowe'!$C$2:$C$300,"*"&amp;A41&amp;"*"))</f>
        <v/>
      </c>
      <c r="F41">
        <f>IF(A41="","",COUNTIFS('Przypadki testowe'!$C$2:$C$300,"*"&amp;A41&amp;"*",'Przypadki testowe'!$K$2:$K$300,"Zaliczony"))</f>
        <v/>
      </c>
      <c r="G41">
        <f>IF(A41="","",COUNTIFS('Przypadki testowe'!$C$2:$C$300,"*"&amp;A41&amp;"*",'Przypadki testowe'!$K$2:$K$300,"Niezaliczony"))</f>
        <v/>
      </c>
      <c r="H41">
        <f>IF(A41="","",IF(E41&gt;0,"Pokryte","BRAK"))</f>
        <v/>
      </c>
    </row>
    <row r="42">
      <c r="E42">
        <f>IF(A42="","",COUNTIF('Przypadki testowe'!$C$2:$C$300,"*"&amp;A42&amp;"*"))</f>
        <v/>
      </c>
      <c r="F42">
        <f>IF(A42="","",COUNTIFS('Przypadki testowe'!$C$2:$C$300,"*"&amp;A42&amp;"*",'Przypadki testowe'!$K$2:$K$300,"Zaliczony"))</f>
        <v/>
      </c>
      <c r="G42">
        <f>IF(A42="","",COUNTIFS('Przypadki testowe'!$C$2:$C$300,"*"&amp;A42&amp;"*",'Przypadki testowe'!$K$2:$K$300,"Niezaliczony"))</f>
        <v/>
      </c>
      <c r="H42">
        <f>IF(A42="","",IF(E42&gt;0,"Pokryte","BRAK"))</f>
        <v/>
      </c>
    </row>
    <row r="43">
      <c r="E43">
        <f>IF(A43="","",COUNTIF('Przypadki testowe'!$C$2:$C$300,"*"&amp;A43&amp;"*"))</f>
        <v/>
      </c>
      <c r="F43">
        <f>IF(A43="","",COUNTIFS('Przypadki testowe'!$C$2:$C$300,"*"&amp;A43&amp;"*",'Przypadki testowe'!$K$2:$K$300,"Zaliczony"))</f>
        <v/>
      </c>
      <c r="G43">
        <f>IF(A43="","",COUNTIFS('Przypadki testowe'!$C$2:$C$300,"*"&amp;A43&amp;"*",'Przypadki testowe'!$K$2:$K$300,"Niezaliczony"))</f>
        <v/>
      </c>
      <c r="H43">
        <f>IF(A43="","",IF(E43&gt;0,"Pokryte","BRAK"))</f>
        <v/>
      </c>
    </row>
    <row r="44">
      <c r="E44">
        <f>IF(A44="","",COUNTIF('Przypadki testowe'!$C$2:$C$300,"*"&amp;A44&amp;"*"))</f>
        <v/>
      </c>
      <c r="F44">
        <f>IF(A44="","",COUNTIFS('Przypadki testowe'!$C$2:$C$300,"*"&amp;A44&amp;"*",'Przypadki testowe'!$K$2:$K$300,"Zaliczony"))</f>
        <v/>
      </c>
      <c r="G44">
        <f>IF(A44="","",COUNTIFS('Przypadki testowe'!$C$2:$C$300,"*"&amp;A44&amp;"*",'Przypadki testowe'!$K$2:$K$300,"Niezaliczony"))</f>
        <v/>
      </c>
      <c r="H44">
        <f>IF(A44="","",IF(E44&gt;0,"Pokryte","BRAK"))</f>
        <v/>
      </c>
    </row>
    <row r="45">
      <c r="E45">
        <f>IF(A45="","",COUNTIF('Przypadki testowe'!$C$2:$C$300,"*"&amp;A45&amp;"*"))</f>
        <v/>
      </c>
      <c r="F45">
        <f>IF(A45="","",COUNTIFS('Przypadki testowe'!$C$2:$C$300,"*"&amp;A45&amp;"*",'Przypadki testowe'!$K$2:$K$300,"Zaliczony"))</f>
        <v/>
      </c>
      <c r="G45">
        <f>IF(A45="","",COUNTIFS('Przypadki testowe'!$C$2:$C$300,"*"&amp;A45&amp;"*",'Przypadki testowe'!$K$2:$K$300,"Niezaliczony"))</f>
        <v/>
      </c>
      <c r="H45">
        <f>IF(A45="","",IF(E45&gt;0,"Pokryte","BRAK"))</f>
        <v/>
      </c>
    </row>
    <row r="46">
      <c r="E46">
        <f>IF(A46="","",COUNTIF('Przypadki testowe'!$C$2:$C$300,"*"&amp;A46&amp;"*"))</f>
        <v/>
      </c>
      <c r="F46">
        <f>IF(A46="","",COUNTIFS('Przypadki testowe'!$C$2:$C$300,"*"&amp;A46&amp;"*",'Przypadki testowe'!$K$2:$K$300,"Zaliczony"))</f>
        <v/>
      </c>
      <c r="G46">
        <f>IF(A46="","",COUNTIFS('Przypadki testowe'!$C$2:$C$300,"*"&amp;A46&amp;"*",'Przypadki testowe'!$K$2:$K$300,"Niezaliczony"))</f>
        <v/>
      </c>
      <c r="H46">
        <f>IF(A46="","",IF(E46&gt;0,"Pokryte","BRAK"))</f>
        <v/>
      </c>
    </row>
    <row r="47">
      <c r="E47">
        <f>IF(A47="","",COUNTIF('Przypadki testowe'!$C$2:$C$300,"*"&amp;A47&amp;"*"))</f>
        <v/>
      </c>
      <c r="F47">
        <f>IF(A47="","",COUNTIFS('Przypadki testowe'!$C$2:$C$300,"*"&amp;A47&amp;"*",'Przypadki testowe'!$K$2:$K$300,"Zaliczony"))</f>
        <v/>
      </c>
      <c r="G47">
        <f>IF(A47="","",COUNTIFS('Przypadki testowe'!$C$2:$C$300,"*"&amp;A47&amp;"*",'Przypadki testowe'!$K$2:$K$300,"Niezaliczony"))</f>
        <v/>
      </c>
      <c r="H47">
        <f>IF(A47="","",IF(E47&gt;0,"Pokryte","BRAK"))</f>
        <v/>
      </c>
    </row>
    <row r="48">
      <c r="E48">
        <f>IF(A48="","",COUNTIF('Przypadki testowe'!$C$2:$C$300,"*"&amp;A48&amp;"*"))</f>
        <v/>
      </c>
      <c r="F48">
        <f>IF(A48="","",COUNTIFS('Przypadki testowe'!$C$2:$C$300,"*"&amp;A48&amp;"*",'Przypadki testowe'!$K$2:$K$300,"Zaliczony"))</f>
        <v/>
      </c>
      <c r="G48">
        <f>IF(A48="","",COUNTIFS('Przypadki testowe'!$C$2:$C$300,"*"&amp;A48&amp;"*",'Przypadki testowe'!$K$2:$K$300,"Niezaliczony"))</f>
        <v/>
      </c>
      <c r="H48">
        <f>IF(A48="","",IF(E48&gt;0,"Pokryte","BRAK"))</f>
        <v/>
      </c>
    </row>
    <row r="49">
      <c r="E49">
        <f>IF(A49="","",COUNTIF('Przypadki testowe'!$C$2:$C$300,"*"&amp;A49&amp;"*"))</f>
        <v/>
      </c>
      <c r="F49">
        <f>IF(A49="","",COUNTIFS('Przypadki testowe'!$C$2:$C$300,"*"&amp;A49&amp;"*",'Przypadki testowe'!$K$2:$K$300,"Zaliczony"))</f>
        <v/>
      </c>
      <c r="G49">
        <f>IF(A49="","",COUNTIFS('Przypadki testowe'!$C$2:$C$300,"*"&amp;A49&amp;"*",'Przypadki testowe'!$K$2:$K$300,"Niezaliczony"))</f>
        <v/>
      </c>
      <c r="H49">
        <f>IF(A49="","",IF(E49&gt;0,"Pokryte","BRAK"))</f>
        <v/>
      </c>
    </row>
    <row r="50">
      <c r="E50">
        <f>IF(A50="","",COUNTIF('Przypadki testowe'!$C$2:$C$300,"*"&amp;A50&amp;"*"))</f>
        <v/>
      </c>
      <c r="F50">
        <f>IF(A50="","",COUNTIFS('Przypadki testowe'!$C$2:$C$300,"*"&amp;A50&amp;"*",'Przypadki testowe'!$K$2:$K$300,"Zaliczony"))</f>
        <v/>
      </c>
      <c r="G50">
        <f>IF(A50="","",COUNTIFS('Przypadki testowe'!$C$2:$C$300,"*"&amp;A50&amp;"*",'Przypadki testowe'!$K$2:$K$300,"Niezaliczony"))</f>
        <v/>
      </c>
      <c r="H50">
        <f>IF(A50="","",IF(E50&gt;0,"Pokryte","BRAK"))</f>
        <v/>
      </c>
    </row>
    <row r="51">
      <c r="E51">
        <f>IF(A51="","",COUNTIF('Przypadki testowe'!$C$2:$C$300,"*"&amp;A51&amp;"*"))</f>
        <v/>
      </c>
      <c r="F51">
        <f>IF(A51="","",COUNTIFS('Przypadki testowe'!$C$2:$C$300,"*"&amp;A51&amp;"*",'Przypadki testowe'!$K$2:$K$300,"Zaliczony"))</f>
        <v/>
      </c>
      <c r="G51">
        <f>IF(A51="","",COUNTIFS('Przypadki testowe'!$C$2:$C$300,"*"&amp;A51&amp;"*",'Przypadki testowe'!$K$2:$K$300,"Niezaliczony"))</f>
        <v/>
      </c>
      <c r="H51">
        <f>IF(A51="","",IF(E51&gt;0,"Pokryte","BRAK"))</f>
        <v/>
      </c>
    </row>
    <row r="52">
      <c r="E52">
        <f>IF(A52="","",COUNTIF('Przypadki testowe'!$C$2:$C$300,"*"&amp;A52&amp;"*"))</f>
        <v/>
      </c>
      <c r="F52">
        <f>IF(A52="","",COUNTIFS('Przypadki testowe'!$C$2:$C$300,"*"&amp;A52&amp;"*",'Przypadki testowe'!$K$2:$K$300,"Zaliczony"))</f>
        <v/>
      </c>
      <c r="G52">
        <f>IF(A52="","",COUNTIFS('Przypadki testowe'!$C$2:$C$300,"*"&amp;A52&amp;"*",'Przypadki testowe'!$K$2:$K$300,"Niezaliczony"))</f>
        <v/>
      </c>
      <c r="H52">
        <f>IF(A52="","",IF(E52&gt;0,"Pokryte","BRAK"))</f>
        <v/>
      </c>
    </row>
    <row r="53">
      <c r="E53">
        <f>IF(A53="","",COUNTIF('Przypadki testowe'!$C$2:$C$300,"*"&amp;A53&amp;"*"))</f>
        <v/>
      </c>
      <c r="F53">
        <f>IF(A53="","",COUNTIFS('Przypadki testowe'!$C$2:$C$300,"*"&amp;A53&amp;"*",'Przypadki testowe'!$K$2:$K$300,"Zaliczony"))</f>
        <v/>
      </c>
      <c r="G53">
        <f>IF(A53="","",COUNTIFS('Przypadki testowe'!$C$2:$C$300,"*"&amp;A53&amp;"*",'Przypadki testowe'!$K$2:$K$300,"Niezaliczony"))</f>
        <v/>
      </c>
      <c r="H53">
        <f>IF(A53="","",IF(E53&gt;0,"Pokryte","BRAK"))</f>
        <v/>
      </c>
    </row>
    <row r="54">
      <c r="E54">
        <f>IF(A54="","",COUNTIF('Przypadki testowe'!$C$2:$C$300,"*"&amp;A54&amp;"*"))</f>
        <v/>
      </c>
      <c r="F54">
        <f>IF(A54="","",COUNTIFS('Przypadki testowe'!$C$2:$C$300,"*"&amp;A54&amp;"*",'Przypadki testowe'!$K$2:$K$300,"Zaliczony"))</f>
        <v/>
      </c>
      <c r="G54">
        <f>IF(A54="","",COUNTIFS('Przypadki testowe'!$C$2:$C$300,"*"&amp;A54&amp;"*",'Przypadki testowe'!$K$2:$K$300,"Niezaliczony"))</f>
        <v/>
      </c>
      <c r="H54">
        <f>IF(A54="","",IF(E54&gt;0,"Pokryte","BRAK"))</f>
        <v/>
      </c>
    </row>
    <row r="55">
      <c r="E55">
        <f>IF(A55="","",COUNTIF('Przypadki testowe'!$C$2:$C$300,"*"&amp;A55&amp;"*"))</f>
        <v/>
      </c>
      <c r="F55">
        <f>IF(A55="","",COUNTIFS('Przypadki testowe'!$C$2:$C$300,"*"&amp;A55&amp;"*",'Przypadki testowe'!$K$2:$K$300,"Zaliczony"))</f>
        <v/>
      </c>
      <c r="G55">
        <f>IF(A55="","",COUNTIFS('Przypadki testowe'!$C$2:$C$300,"*"&amp;A55&amp;"*",'Przypadki testowe'!$K$2:$K$300,"Niezaliczony"))</f>
        <v/>
      </c>
      <c r="H55">
        <f>IF(A55="","",IF(E55&gt;0,"Pokryte","BRAK"))</f>
        <v/>
      </c>
    </row>
    <row r="56">
      <c r="E56">
        <f>IF(A56="","",COUNTIF('Przypadki testowe'!$C$2:$C$300,"*"&amp;A56&amp;"*"))</f>
        <v/>
      </c>
      <c r="F56">
        <f>IF(A56="","",COUNTIFS('Przypadki testowe'!$C$2:$C$300,"*"&amp;A56&amp;"*",'Przypadki testowe'!$K$2:$K$300,"Zaliczony"))</f>
        <v/>
      </c>
      <c r="G56">
        <f>IF(A56="","",COUNTIFS('Przypadki testowe'!$C$2:$C$300,"*"&amp;A56&amp;"*",'Przypadki testowe'!$K$2:$K$300,"Niezaliczony"))</f>
        <v/>
      </c>
      <c r="H56">
        <f>IF(A56="","",IF(E56&gt;0,"Pokryte","BRAK"))</f>
        <v/>
      </c>
    </row>
    <row r="57">
      <c r="E57">
        <f>IF(A57="","",COUNTIF('Przypadki testowe'!$C$2:$C$300,"*"&amp;A57&amp;"*"))</f>
        <v/>
      </c>
      <c r="F57">
        <f>IF(A57="","",COUNTIFS('Przypadki testowe'!$C$2:$C$300,"*"&amp;A57&amp;"*",'Przypadki testowe'!$K$2:$K$300,"Zaliczony"))</f>
        <v/>
      </c>
      <c r="G57">
        <f>IF(A57="","",COUNTIFS('Przypadki testowe'!$C$2:$C$300,"*"&amp;A57&amp;"*",'Przypadki testowe'!$K$2:$K$300,"Niezaliczony"))</f>
        <v/>
      </c>
      <c r="H57">
        <f>IF(A57="","",IF(E57&gt;0,"Pokryte","BRAK"))</f>
        <v/>
      </c>
    </row>
    <row r="58">
      <c r="E58">
        <f>IF(A58="","",COUNTIF('Przypadki testowe'!$C$2:$C$300,"*"&amp;A58&amp;"*"))</f>
        <v/>
      </c>
      <c r="F58">
        <f>IF(A58="","",COUNTIFS('Przypadki testowe'!$C$2:$C$300,"*"&amp;A58&amp;"*",'Przypadki testowe'!$K$2:$K$300,"Zaliczony"))</f>
        <v/>
      </c>
      <c r="G58">
        <f>IF(A58="","",COUNTIFS('Przypadki testowe'!$C$2:$C$300,"*"&amp;A58&amp;"*",'Przypadki testowe'!$K$2:$K$300,"Niezaliczony"))</f>
        <v/>
      </c>
      <c r="H58">
        <f>IF(A58="","",IF(E58&gt;0,"Pokryte","BRAK"))</f>
        <v/>
      </c>
    </row>
    <row r="59">
      <c r="E59">
        <f>IF(A59="","",COUNTIF('Przypadki testowe'!$C$2:$C$300,"*"&amp;A59&amp;"*"))</f>
        <v/>
      </c>
      <c r="F59">
        <f>IF(A59="","",COUNTIFS('Przypadki testowe'!$C$2:$C$300,"*"&amp;A59&amp;"*",'Przypadki testowe'!$K$2:$K$300,"Zaliczony"))</f>
        <v/>
      </c>
      <c r="G59">
        <f>IF(A59="","",COUNTIFS('Przypadki testowe'!$C$2:$C$300,"*"&amp;A59&amp;"*",'Przypadki testowe'!$K$2:$K$300,"Niezaliczony"))</f>
        <v/>
      </c>
      <c r="H59">
        <f>IF(A59="","",IF(E59&gt;0,"Pokryte","BRAK"))</f>
        <v/>
      </c>
    </row>
    <row r="60">
      <c r="E60">
        <f>IF(A60="","",COUNTIF('Przypadki testowe'!$C$2:$C$300,"*"&amp;A60&amp;"*"))</f>
        <v/>
      </c>
      <c r="F60">
        <f>IF(A60="","",COUNTIFS('Przypadki testowe'!$C$2:$C$300,"*"&amp;A60&amp;"*",'Przypadki testowe'!$K$2:$K$300,"Zaliczony"))</f>
        <v/>
      </c>
      <c r="G60">
        <f>IF(A60="","",COUNTIFS('Przypadki testowe'!$C$2:$C$300,"*"&amp;A60&amp;"*",'Przypadki testowe'!$K$2:$K$300,"Niezaliczony"))</f>
        <v/>
      </c>
      <c r="H60">
        <f>IF(A60="","",IF(E60&gt;0,"Pokryte","BRAK"))</f>
        <v/>
      </c>
    </row>
    <row r="61">
      <c r="E61">
        <f>IF(A61="","",COUNTIF('Przypadki testowe'!$C$2:$C$300,"*"&amp;A61&amp;"*"))</f>
        <v/>
      </c>
      <c r="F61">
        <f>IF(A61="","",COUNTIFS('Przypadki testowe'!$C$2:$C$300,"*"&amp;A61&amp;"*",'Przypadki testowe'!$K$2:$K$300,"Zaliczony"))</f>
        <v/>
      </c>
      <c r="G61">
        <f>IF(A61="","",COUNTIFS('Przypadki testowe'!$C$2:$C$300,"*"&amp;A61&amp;"*",'Przypadki testowe'!$K$2:$K$300,"Niezaliczony"))</f>
        <v/>
      </c>
      <c r="H61">
        <f>IF(A61="","",IF(E61&gt;0,"Pokryte","BRAK"))</f>
        <v/>
      </c>
    </row>
    <row r="62">
      <c r="E62">
        <f>IF(A62="","",COUNTIF('Przypadki testowe'!$C$2:$C$300,"*"&amp;A62&amp;"*"))</f>
        <v/>
      </c>
      <c r="F62">
        <f>IF(A62="","",COUNTIFS('Przypadki testowe'!$C$2:$C$300,"*"&amp;A62&amp;"*",'Przypadki testowe'!$K$2:$K$300,"Zaliczony"))</f>
        <v/>
      </c>
      <c r="G62">
        <f>IF(A62="","",COUNTIFS('Przypadki testowe'!$C$2:$C$300,"*"&amp;A62&amp;"*",'Przypadki testowe'!$K$2:$K$300,"Niezaliczony"))</f>
        <v/>
      </c>
      <c r="H62">
        <f>IF(A62="","",IF(E62&gt;0,"Pokryte","BRAK"))</f>
        <v/>
      </c>
    </row>
    <row r="63">
      <c r="E63">
        <f>IF(A63="","",COUNTIF('Przypadki testowe'!$C$2:$C$300,"*"&amp;A63&amp;"*"))</f>
        <v/>
      </c>
      <c r="F63">
        <f>IF(A63="","",COUNTIFS('Przypadki testowe'!$C$2:$C$300,"*"&amp;A63&amp;"*",'Przypadki testowe'!$K$2:$K$300,"Zaliczony"))</f>
        <v/>
      </c>
      <c r="G63">
        <f>IF(A63="","",COUNTIFS('Przypadki testowe'!$C$2:$C$300,"*"&amp;A63&amp;"*",'Przypadki testowe'!$K$2:$K$300,"Niezaliczony"))</f>
        <v/>
      </c>
      <c r="H63">
        <f>IF(A63="","",IF(E63&gt;0,"Pokryte","BRAK"))</f>
        <v/>
      </c>
    </row>
    <row r="64">
      <c r="E64">
        <f>IF(A64="","",COUNTIF('Przypadki testowe'!$C$2:$C$300,"*"&amp;A64&amp;"*"))</f>
        <v/>
      </c>
      <c r="F64">
        <f>IF(A64="","",COUNTIFS('Przypadki testowe'!$C$2:$C$300,"*"&amp;A64&amp;"*",'Przypadki testowe'!$K$2:$K$300,"Zaliczony"))</f>
        <v/>
      </c>
      <c r="G64">
        <f>IF(A64="","",COUNTIFS('Przypadki testowe'!$C$2:$C$300,"*"&amp;A64&amp;"*",'Przypadki testowe'!$K$2:$K$300,"Niezaliczony"))</f>
        <v/>
      </c>
      <c r="H64">
        <f>IF(A64="","",IF(E64&gt;0,"Pokryte","BRAK"))</f>
        <v/>
      </c>
    </row>
    <row r="65">
      <c r="E65">
        <f>IF(A65="","",COUNTIF('Przypadki testowe'!$C$2:$C$300,"*"&amp;A65&amp;"*"))</f>
        <v/>
      </c>
      <c r="F65">
        <f>IF(A65="","",COUNTIFS('Przypadki testowe'!$C$2:$C$300,"*"&amp;A65&amp;"*",'Przypadki testowe'!$K$2:$K$300,"Zaliczony"))</f>
        <v/>
      </c>
      <c r="G65">
        <f>IF(A65="","",COUNTIFS('Przypadki testowe'!$C$2:$C$300,"*"&amp;A65&amp;"*",'Przypadki testowe'!$K$2:$K$300,"Niezaliczony"))</f>
        <v/>
      </c>
      <c r="H65">
        <f>IF(A65="","",IF(E65&gt;0,"Pokryte","BRAK"))</f>
        <v/>
      </c>
    </row>
    <row r="66">
      <c r="E66">
        <f>IF(A66="","",COUNTIF('Przypadki testowe'!$C$2:$C$300,"*"&amp;A66&amp;"*"))</f>
        <v/>
      </c>
      <c r="F66">
        <f>IF(A66="","",COUNTIFS('Przypadki testowe'!$C$2:$C$300,"*"&amp;A66&amp;"*",'Przypadki testowe'!$K$2:$K$300,"Zaliczony"))</f>
        <v/>
      </c>
      <c r="G66">
        <f>IF(A66="","",COUNTIFS('Przypadki testowe'!$C$2:$C$300,"*"&amp;A66&amp;"*",'Przypadki testowe'!$K$2:$K$300,"Niezaliczony"))</f>
        <v/>
      </c>
      <c r="H66">
        <f>IF(A66="","",IF(E66&gt;0,"Pokryte","BRAK"))</f>
        <v/>
      </c>
    </row>
    <row r="67">
      <c r="E67">
        <f>IF(A67="","",COUNTIF('Przypadki testowe'!$C$2:$C$300,"*"&amp;A67&amp;"*"))</f>
        <v/>
      </c>
      <c r="F67">
        <f>IF(A67="","",COUNTIFS('Przypadki testowe'!$C$2:$C$300,"*"&amp;A67&amp;"*",'Przypadki testowe'!$K$2:$K$300,"Zaliczony"))</f>
        <v/>
      </c>
      <c r="G67">
        <f>IF(A67="","",COUNTIFS('Przypadki testowe'!$C$2:$C$300,"*"&amp;A67&amp;"*",'Przypadki testowe'!$K$2:$K$300,"Niezaliczony"))</f>
        <v/>
      </c>
      <c r="H67">
        <f>IF(A67="","",IF(E67&gt;0,"Pokryte","BRAK"))</f>
        <v/>
      </c>
    </row>
    <row r="68">
      <c r="E68">
        <f>IF(A68="","",COUNTIF('Przypadki testowe'!$C$2:$C$300,"*"&amp;A68&amp;"*"))</f>
        <v/>
      </c>
      <c r="F68">
        <f>IF(A68="","",COUNTIFS('Przypadki testowe'!$C$2:$C$300,"*"&amp;A68&amp;"*",'Przypadki testowe'!$K$2:$K$300,"Zaliczony"))</f>
        <v/>
      </c>
      <c r="G68">
        <f>IF(A68="","",COUNTIFS('Przypadki testowe'!$C$2:$C$300,"*"&amp;A68&amp;"*",'Przypadki testowe'!$K$2:$K$300,"Niezaliczony"))</f>
        <v/>
      </c>
      <c r="H68">
        <f>IF(A68="","",IF(E68&gt;0,"Pokryte","BRAK"))</f>
        <v/>
      </c>
    </row>
    <row r="69">
      <c r="E69">
        <f>IF(A69="","",COUNTIF('Przypadki testowe'!$C$2:$C$300,"*"&amp;A69&amp;"*"))</f>
        <v/>
      </c>
      <c r="F69">
        <f>IF(A69="","",COUNTIFS('Przypadki testowe'!$C$2:$C$300,"*"&amp;A69&amp;"*",'Przypadki testowe'!$K$2:$K$300,"Zaliczony"))</f>
        <v/>
      </c>
      <c r="G69">
        <f>IF(A69="","",COUNTIFS('Przypadki testowe'!$C$2:$C$300,"*"&amp;A69&amp;"*",'Przypadki testowe'!$K$2:$K$300,"Niezaliczony"))</f>
        <v/>
      </c>
      <c r="H69">
        <f>IF(A69="","",IF(E69&gt;0,"Pokryte","BRAK"))</f>
        <v/>
      </c>
    </row>
    <row r="70">
      <c r="E70">
        <f>IF(A70="","",COUNTIF('Przypadki testowe'!$C$2:$C$300,"*"&amp;A70&amp;"*"))</f>
        <v/>
      </c>
      <c r="F70">
        <f>IF(A70="","",COUNTIFS('Przypadki testowe'!$C$2:$C$300,"*"&amp;A70&amp;"*",'Przypadki testowe'!$K$2:$K$300,"Zaliczony"))</f>
        <v/>
      </c>
      <c r="G70">
        <f>IF(A70="","",COUNTIFS('Przypadki testowe'!$C$2:$C$300,"*"&amp;A70&amp;"*",'Przypadki testowe'!$K$2:$K$300,"Niezaliczony"))</f>
        <v/>
      </c>
      <c r="H70">
        <f>IF(A70="","",IF(E70&gt;0,"Pokryte","BRAK"))</f>
        <v/>
      </c>
    </row>
    <row r="71">
      <c r="E71">
        <f>IF(A71="","",COUNTIF('Przypadki testowe'!$C$2:$C$300,"*"&amp;A71&amp;"*"))</f>
        <v/>
      </c>
      <c r="F71">
        <f>IF(A71="","",COUNTIFS('Przypadki testowe'!$C$2:$C$300,"*"&amp;A71&amp;"*",'Przypadki testowe'!$K$2:$K$300,"Zaliczony"))</f>
        <v/>
      </c>
      <c r="G71">
        <f>IF(A71="","",COUNTIFS('Przypadki testowe'!$C$2:$C$300,"*"&amp;A71&amp;"*",'Przypadki testowe'!$K$2:$K$300,"Niezaliczony"))</f>
        <v/>
      </c>
      <c r="H71">
        <f>IF(A71="","",IF(E71&gt;0,"Pokryte","BRAK"))</f>
        <v/>
      </c>
    </row>
    <row r="72">
      <c r="E72">
        <f>IF(A72="","",COUNTIF('Przypadki testowe'!$C$2:$C$300,"*"&amp;A72&amp;"*"))</f>
        <v/>
      </c>
      <c r="F72">
        <f>IF(A72="","",COUNTIFS('Przypadki testowe'!$C$2:$C$300,"*"&amp;A72&amp;"*",'Przypadki testowe'!$K$2:$K$300,"Zaliczony"))</f>
        <v/>
      </c>
      <c r="G72">
        <f>IF(A72="","",COUNTIFS('Przypadki testowe'!$C$2:$C$300,"*"&amp;A72&amp;"*",'Przypadki testowe'!$K$2:$K$300,"Niezaliczony"))</f>
        <v/>
      </c>
      <c r="H72">
        <f>IF(A72="","",IF(E72&gt;0,"Pokryte","BRAK"))</f>
        <v/>
      </c>
    </row>
    <row r="73">
      <c r="E73">
        <f>IF(A73="","",COUNTIF('Przypadki testowe'!$C$2:$C$300,"*"&amp;A73&amp;"*"))</f>
        <v/>
      </c>
      <c r="F73">
        <f>IF(A73="","",COUNTIFS('Przypadki testowe'!$C$2:$C$300,"*"&amp;A73&amp;"*",'Przypadki testowe'!$K$2:$K$300,"Zaliczony"))</f>
        <v/>
      </c>
      <c r="G73">
        <f>IF(A73="","",COUNTIFS('Przypadki testowe'!$C$2:$C$300,"*"&amp;A73&amp;"*",'Przypadki testowe'!$K$2:$K$300,"Niezaliczony"))</f>
        <v/>
      </c>
      <c r="H73">
        <f>IF(A73="","",IF(E73&gt;0,"Pokryte","BRAK"))</f>
        <v/>
      </c>
    </row>
    <row r="74">
      <c r="E74">
        <f>IF(A74="","",COUNTIF('Przypadki testowe'!$C$2:$C$300,"*"&amp;A74&amp;"*"))</f>
        <v/>
      </c>
      <c r="F74">
        <f>IF(A74="","",COUNTIFS('Przypadki testowe'!$C$2:$C$300,"*"&amp;A74&amp;"*",'Przypadki testowe'!$K$2:$K$300,"Zaliczony"))</f>
        <v/>
      </c>
      <c r="G74">
        <f>IF(A74="","",COUNTIFS('Przypadki testowe'!$C$2:$C$300,"*"&amp;A74&amp;"*",'Przypadki testowe'!$K$2:$K$300,"Niezaliczony"))</f>
        <v/>
      </c>
      <c r="H74">
        <f>IF(A74="","",IF(E74&gt;0,"Pokryte","BRAK"))</f>
        <v/>
      </c>
    </row>
    <row r="75">
      <c r="E75">
        <f>IF(A75="","",COUNTIF('Przypadki testowe'!$C$2:$C$300,"*"&amp;A75&amp;"*"))</f>
        <v/>
      </c>
      <c r="F75">
        <f>IF(A75="","",COUNTIFS('Przypadki testowe'!$C$2:$C$300,"*"&amp;A75&amp;"*",'Przypadki testowe'!$K$2:$K$300,"Zaliczony"))</f>
        <v/>
      </c>
      <c r="G75">
        <f>IF(A75="","",COUNTIFS('Przypadki testowe'!$C$2:$C$300,"*"&amp;A75&amp;"*",'Przypadki testowe'!$K$2:$K$300,"Niezaliczony"))</f>
        <v/>
      </c>
      <c r="H75">
        <f>IF(A75="","",IF(E75&gt;0,"Pokryte","BRAK"))</f>
        <v/>
      </c>
    </row>
    <row r="76">
      <c r="E76">
        <f>IF(A76="","",COUNTIF('Przypadki testowe'!$C$2:$C$300,"*"&amp;A76&amp;"*"))</f>
        <v/>
      </c>
      <c r="F76">
        <f>IF(A76="","",COUNTIFS('Przypadki testowe'!$C$2:$C$300,"*"&amp;A76&amp;"*",'Przypadki testowe'!$K$2:$K$300,"Zaliczony"))</f>
        <v/>
      </c>
      <c r="G76">
        <f>IF(A76="","",COUNTIFS('Przypadki testowe'!$C$2:$C$300,"*"&amp;A76&amp;"*",'Przypadki testowe'!$K$2:$K$300,"Niezaliczony"))</f>
        <v/>
      </c>
      <c r="H76">
        <f>IF(A76="","",IF(E76&gt;0,"Pokryte","BRAK"))</f>
        <v/>
      </c>
    </row>
    <row r="77">
      <c r="E77">
        <f>IF(A77="","",COUNTIF('Przypadki testowe'!$C$2:$C$300,"*"&amp;A77&amp;"*"))</f>
        <v/>
      </c>
      <c r="F77">
        <f>IF(A77="","",COUNTIFS('Przypadki testowe'!$C$2:$C$300,"*"&amp;A77&amp;"*",'Przypadki testowe'!$K$2:$K$300,"Zaliczony"))</f>
        <v/>
      </c>
      <c r="G77">
        <f>IF(A77="","",COUNTIFS('Przypadki testowe'!$C$2:$C$300,"*"&amp;A77&amp;"*",'Przypadki testowe'!$K$2:$K$300,"Niezaliczony"))</f>
        <v/>
      </c>
      <c r="H77">
        <f>IF(A77="","",IF(E77&gt;0,"Pokryte","BRAK"))</f>
        <v/>
      </c>
    </row>
    <row r="78">
      <c r="E78">
        <f>IF(A78="","",COUNTIF('Przypadki testowe'!$C$2:$C$300,"*"&amp;A78&amp;"*"))</f>
        <v/>
      </c>
      <c r="F78">
        <f>IF(A78="","",COUNTIFS('Przypadki testowe'!$C$2:$C$300,"*"&amp;A78&amp;"*",'Przypadki testowe'!$K$2:$K$300,"Zaliczony"))</f>
        <v/>
      </c>
      <c r="G78">
        <f>IF(A78="","",COUNTIFS('Przypadki testowe'!$C$2:$C$300,"*"&amp;A78&amp;"*",'Przypadki testowe'!$K$2:$K$300,"Niezaliczony"))</f>
        <v/>
      </c>
      <c r="H78">
        <f>IF(A78="","",IF(E78&gt;0,"Pokryte","BRAK"))</f>
        <v/>
      </c>
    </row>
    <row r="79">
      <c r="E79">
        <f>IF(A79="","",COUNTIF('Przypadki testowe'!$C$2:$C$300,"*"&amp;A79&amp;"*"))</f>
        <v/>
      </c>
      <c r="F79">
        <f>IF(A79="","",COUNTIFS('Przypadki testowe'!$C$2:$C$300,"*"&amp;A79&amp;"*",'Przypadki testowe'!$K$2:$K$300,"Zaliczony"))</f>
        <v/>
      </c>
      <c r="G79">
        <f>IF(A79="","",COUNTIFS('Przypadki testowe'!$C$2:$C$300,"*"&amp;A79&amp;"*",'Przypadki testowe'!$K$2:$K$300,"Niezaliczony"))</f>
        <v/>
      </c>
      <c r="H79">
        <f>IF(A79="","",IF(E79&gt;0,"Pokryte","BRAK"))</f>
        <v/>
      </c>
    </row>
    <row r="80">
      <c r="E80">
        <f>IF(A80="","",COUNTIF('Przypadki testowe'!$C$2:$C$300,"*"&amp;A80&amp;"*"))</f>
        <v/>
      </c>
      <c r="F80">
        <f>IF(A80="","",COUNTIFS('Przypadki testowe'!$C$2:$C$300,"*"&amp;A80&amp;"*",'Przypadki testowe'!$K$2:$K$300,"Zaliczony"))</f>
        <v/>
      </c>
      <c r="G80">
        <f>IF(A80="","",COUNTIFS('Przypadki testowe'!$C$2:$C$300,"*"&amp;A80&amp;"*",'Przypadki testowe'!$K$2:$K$300,"Niezaliczony"))</f>
        <v/>
      </c>
      <c r="H80">
        <f>IF(A80="","",IF(E80&gt;0,"Pokryte","BRAK"))</f>
        <v/>
      </c>
    </row>
    <row r="81">
      <c r="E81">
        <f>IF(A81="","",COUNTIF('Przypadki testowe'!$C$2:$C$300,"*"&amp;A81&amp;"*"))</f>
        <v/>
      </c>
      <c r="F81">
        <f>IF(A81="","",COUNTIFS('Przypadki testowe'!$C$2:$C$300,"*"&amp;A81&amp;"*",'Przypadki testowe'!$K$2:$K$300,"Zaliczony"))</f>
        <v/>
      </c>
      <c r="G81">
        <f>IF(A81="","",COUNTIFS('Przypadki testowe'!$C$2:$C$300,"*"&amp;A81&amp;"*",'Przypadki testowe'!$K$2:$K$300,"Niezaliczony"))</f>
        <v/>
      </c>
      <c r="H81">
        <f>IF(A81="","",IF(E81&gt;0,"Pokryte","BRAK"))</f>
        <v/>
      </c>
    </row>
    <row r="82">
      <c r="E82">
        <f>IF(A82="","",COUNTIF('Przypadki testowe'!$C$2:$C$300,"*"&amp;A82&amp;"*"))</f>
        <v/>
      </c>
      <c r="F82">
        <f>IF(A82="","",COUNTIFS('Przypadki testowe'!$C$2:$C$300,"*"&amp;A82&amp;"*",'Przypadki testowe'!$K$2:$K$300,"Zaliczony"))</f>
        <v/>
      </c>
      <c r="G82">
        <f>IF(A82="","",COUNTIFS('Przypadki testowe'!$C$2:$C$300,"*"&amp;A82&amp;"*",'Przypadki testowe'!$K$2:$K$300,"Niezaliczony"))</f>
        <v/>
      </c>
      <c r="H82">
        <f>IF(A82="","",IF(E82&gt;0,"Pokryte","BRAK"))</f>
        <v/>
      </c>
    </row>
    <row r="83">
      <c r="E83">
        <f>IF(A83="","",COUNTIF('Przypadki testowe'!$C$2:$C$300,"*"&amp;A83&amp;"*"))</f>
        <v/>
      </c>
      <c r="F83">
        <f>IF(A83="","",COUNTIFS('Przypadki testowe'!$C$2:$C$300,"*"&amp;A83&amp;"*",'Przypadki testowe'!$K$2:$K$300,"Zaliczony"))</f>
        <v/>
      </c>
      <c r="G83">
        <f>IF(A83="","",COUNTIFS('Przypadki testowe'!$C$2:$C$300,"*"&amp;A83&amp;"*",'Przypadki testowe'!$K$2:$K$300,"Niezaliczony"))</f>
        <v/>
      </c>
      <c r="H83">
        <f>IF(A83="","",IF(E83&gt;0,"Pokryte","BRAK"))</f>
        <v/>
      </c>
    </row>
    <row r="84">
      <c r="E84">
        <f>IF(A84="","",COUNTIF('Przypadki testowe'!$C$2:$C$300,"*"&amp;A84&amp;"*"))</f>
        <v/>
      </c>
      <c r="F84">
        <f>IF(A84="","",COUNTIFS('Przypadki testowe'!$C$2:$C$300,"*"&amp;A84&amp;"*",'Przypadki testowe'!$K$2:$K$300,"Zaliczony"))</f>
        <v/>
      </c>
      <c r="G84">
        <f>IF(A84="","",COUNTIFS('Przypadki testowe'!$C$2:$C$300,"*"&amp;A84&amp;"*",'Przypadki testowe'!$K$2:$K$300,"Niezaliczony"))</f>
        <v/>
      </c>
      <c r="H84">
        <f>IF(A84="","",IF(E84&gt;0,"Pokryte","BRAK"))</f>
        <v/>
      </c>
    </row>
    <row r="85">
      <c r="E85">
        <f>IF(A85="","",COUNTIF('Przypadki testowe'!$C$2:$C$300,"*"&amp;A85&amp;"*"))</f>
        <v/>
      </c>
      <c r="F85">
        <f>IF(A85="","",COUNTIFS('Przypadki testowe'!$C$2:$C$300,"*"&amp;A85&amp;"*",'Przypadki testowe'!$K$2:$K$300,"Zaliczony"))</f>
        <v/>
      </c>
      <c r="G85">
        <f>IF(A85="","",COUNTIFS('Przypadki testowe'!$C$2:$C$300,"*"&amp;A85&amp;"*",'Przypadki testowe'!$K$2:$K$300,"Niezaliczony"))</f>
        <v/>
      </c>
      <c r="H85">
        <f>IF(A85="","",IF(E85&gt;0,"Pokryte","BRAK"))</f>
        <v/>
      </c>
    </row>
    <row r="86">
      <c r="E86">
        <f>IF(A86="","",COUNTIF('Przypadki testowe'!$C$2:$C$300,"*"&amp;A86&amp;"*"))</f>
        <v/>
      </c>
      <c r="F86">
        <f>IF(A86="","",COUNTIFS('Przypadki testowe'!$C$2:$C$300,"*"&amp;A86&amp;"*",'Przypadki testowe'!$K$2:$K$300,"Zaliczony"))</f>
        <v/>
      </c>
      <c r="G86">
        <f>IF(A86="","",COUNTIFS('Przypadki testowe'!$C$2:$C$300,"*"&amp;A86&amp;"*",'Przypadki testowe'!$K$2:$K$300,"Niezaliczony"))</f>
        <v/>
      </c>
      <c r="H86">
        <f>IF(A86="","",IF(E86&gt;0,"Pokryte","BRAK"))</f>
        <v/>
      </c>
    </row>
    <row r="87">
      <c r="E87">
        <f>IF(A87="","",COUNTIF('Przypadki testowe'!$C$2:$C$300,"*"&amp;A87&amp;"*"))</f>
        <v/>
      </c>
      <c r="F87">
        <f>IF(A87="","",COUNTIFS('Przypadki testowe'!$C$2:$C$300,"*"&amp;A87&amp;"*",'Przypadki testowe'!$K$2:$K$300,"Zaliczony"))</f>
        <v/>
      </c>
      <c r="G87">
        <f>IF(A87="","",COUNTIFS('Przypadki testowe'!$C$2:$C$300,"*"&amp;A87&amp;"*",'Przypadki testowe'!$K$2:$K$300,"Niezaliczony"))</f>
        <v/>
      </c>
      <c r="H87">
        <f>IF(A87="","",IF(E87&gt;0,"Pokryte","BRAK"))</f>
        <v/>
      </c>
    </row>
    <row r="88">
      <c r="E88">
        <f>IF(A88="","",COUNTIF('Przypadki testowe'!$C$2:$C$300,"*"&amp;A88&amp;"*"))</f>
        <v/>
      </c>
      <c r="F88">
        <f>IF(A88="","",COUNTIFS('Przypadki testowe'!$C$2:$C$300,"*"&amp;A88&amp;"*",'Przypadki testowe'!$K$2:$K$300,"Zaliczony"))</f>
        <v/>
      </c>
      <c r="G88">
        <f>IF(A88="","",COUNTIFS('Przypadki testowe'!$C$2:$C$300,"*"&amp;A88&amp;"*",'Przypadki testowe'!$K$2:$K$300,"Niezaliczony"))</f>
        <v/>
      </c>
      <c r="H88">
        <f>IF(A88="","",IF(E88&gt;0,"Pokryte","BRAK"))</f>
        <v/>
      </c>
    </row>
    <row r="89">
      <c r="E89">
        <f>IF(A89="","",COUNTIF('Przypadki testowe'!$C$2:$C$300,"*"&amp;A89&amp;"*"))</f>
        <v/>
      </c>
      <c r="F89">
        <f>IF(A89="","",COUNTIFS('Przypadki testowe'!$C$2:$C$300,"*"&amp;A89&amp;"*",'Przypadki testowe'!$K$2:$K$300,"Zaliczony"))</f>
        <v/>
      </c>
      <c r="G89">
        <f>IF(A89="","",COUNTIFS('Przypadki testowe'!$C$2:$C$300,"*"&amp;A89&amp;"*",'Przypadki testowe'!$K$2:$K$300,"Niezaliczony"))</f>
        <v/>
      </c>
      <c r="H89">
        <f>IF(A89="","",IF(E89&gt;0,"Pokryte","BRAK"))</f>
        <v/>
      </c>
    </row>
    <row r="90">
      <c r="E90">
        <f>IF(A90="","",COUNTIF('Przypadki testowe'!$C$2:$C$300,"*"&amp;A90&amp;"*"))</f>
        <v/>
      </c>
      <c r="F90">
        <f>IF(A90="","",COUNTIFS('Przypadki testowe'!$C$2:$C$300,"*"&amp;A90&amp;"*",'Przypadki testowe'!$K$2:$K$300,"Zaliczony"))</f>
        <v/>
      </c>
      <c r="G90">
        <f>IF(A90="","",COUNTIFS('Przypadki testowe'!$C$2:$C$300,"*"&amp;A90&amp;"*",'Przypadki testowe'!$K$2:$K$300,"Niezaliczony"))</f>
        <v/>
      </c>
      <c r="H90">
        <f>IF(A90="","",IF(E90&gt;0,"Pokryte","BRAK"))</f>
        <v/>
      </c>
    </row>
    <row r="91">
      <c r="E91">
        <f>IF(A91="","",COUNTIF('Przypadki testowe'!$C$2:$C$300,"*"&amp;A91&amp;"*"))</f>
        <v/>
      </c>
      <c r="F91">
        <f>IF(A91="","",COUNTIFS('Przypadki testowe'!$C$2:$C$300,"*"&amp;A91&amp;"*",'Przypadki testowe'!$K$2:$K$300,"Zaliczony"))</f>
        <v/>
      </c>
      <c r="G91">
        <f>IF(A91="","",COUNTIFS('Przypadki testowe'!$C$2:$C$300,"*"&amp;A91&amp;"*",'Przypadki testowe'!$K$2:$K$300,"Niezaliczony"))</f>
        <v/>
      </c>
      <c r="H91">
        <f>IF(A91="","",IF(E91&gt;0,"Pokryte","BRAK"))</f>
        <v/>
      </c>
    </row>
    <row r="92">
      <c r="E92">
        <f>IF(A92="","",COUNTIF('Przypadki testowe'!$C$2:$C$300,"*"&amp;A92&amp;"*"))</f>
        <v/>
      </c>
      <c r="F92">
        <f>IF(A92="","",COUNTIFS('Przypadki testowe'!$C$2:$C$300,"*"&amp;A92&amp;"*",'Przypadki testowe'!$K$2:$K$300,"Zaliczony"))</f>
        <v/>
      </c>
      <c r="G92">
        <f>IF(A92="","",COUNTIFS('Przypadki testowe'!$C$2:$C$300,"*"&amp;A92&amp;"*",'Przypadki testowe'!$K$2:$K$300,"Niezaliczony"))</f>
        <v/>
      </c>
      <c r="H92">
        <f>IF(A92="","",IF(E92&gt;0,"Pokryte","BRAK"))</f>
        <v/>
      </c>
    </row>
    <row r="93">
      <c r="E93">
        <f>IF(A93="","",COUNTIF('Przypadki testowe'!$C$2:$C$300,"*"&amp;A93&amp;"*"))</f>
        <v/>
      </c>
      <c r="F93">
        <f>IF(A93="","",COUNTIFS('Przypadki testowe'!$C$2:$C$300,"*"&amp;A93&amp;"*",'Przypadki testowe'!$K$2:$K$300,"Zaliczony"))</f>
        <v/>
      </c>
      <c r="G93">
        <f>IF(A93="","",COUNTIFS('Przypadki testowe'!$C$2:$C$300,"*"&amp;A93&amp;"*",'Przypadki testowe'!$K$2:$K$300,"Niezaliczony"))</f>
        <v/>
      </c>
      <c r="H93">
        <f>IF(A93="","",IF(E93&gt;0,"Pokryte","BRAK"))</f>
        <v/>
      </c>
    </row>
    <row r="94">
      <c r="E94">
        <f>IF(A94="","",COUNTIF('Przypadki testowe'!$C$2:$C$300,"*"&amp;A94&amp;"*"))</f>
        <v/>
      </c>
      <c r="F94">
        <f>IF(A94="","",COUNTIFS('Przypadki testowe'!$C$2:$C$300,"*"&amp;A94&amp;"*",'Przypadki testowe'!$K$2:$K$300,"Zaliczony"))</f>
        <v/>
      </c>
      <c r="G94">
        <f>IF(A94="","",COUNTIFS('Przypadki testowe'!$C$2:$C$300,"*"&amp;A94&amp;"*",'Przypadki testowe'!$K$2:$K$300,"Niezaliczony"))</f>
        <v/>
      </c>
      <c r="H94">
        <f>IF(A94="","",IF(E94&gt;0,"Pokryte","BRAK"))</f>
        <v/>
      </c>
    </row>
    <row r="95">
      <c r="E95">
        <f>IF(A95="","",COUNTIF('Przypadki testowe'!$C$2:$C$300,"*"&amp;A95&amp;"*"))</f>
        <v/>
      </c>
      <c r="F95">
        <f>IF(A95="","",COUNTIFS('Przypadki testowe'!$C$2:$C$300,"*"&amp;A95&amp;"*",'Przypadki testowe'!$K$2:$K$300,"Zaliczony"))</f>
        <v/>
      </c>
      <c r="G95">
        <f>IF(A95="","",COUNTIFS('Przypadki testowe'!$C$2:$C$300,"*"&amp;A95&amp;"*",'Przypadki testowe'!$K$2:$K$300,"Niezaliczony"))</f>
        <v/>
      </c>
      <c r="H95">
        <f>IF(A95="","",IF(E95&gt;0,"Pokryte","BRAK"))</f>
        <v/>
      </c>
    </row>
    <row r="96">
      <c r="E96">
        <f>IF(A96="","",COUNTIF('Przypadki testowe'!$C$2:$C$300,"*"&amp;A96&amp;"*"))</f>
        <v/>
      </c>
      <c r="F96">
        <f>IF(A96="","",COUNTIFS('Przypadki testowe'!$C$2:$C$300,"*"&amp;A96&amp;"*",'Przypadki testowe'!$K$2:$K$300,"Zaliczony"))</f>
        <v/>
      </c>
      <c r="G96">
        <f>IF(A96="","",COUNTIFS('Przypadki testowe'!$C$2:$C$300,"*"&amp;A96&amp;"*",'Przypadki testowe'!$K$2:$K$300,"Niezaliczony"))</f>
        <v/>
      </c>
      <c r="H96">
        <f>IF(A96="","",IF(E96&gt;0,"Pokryte","BRAK"))</f>
        <v/>
      </c>
    </row>
    <row r="97">
      <c r="E97">
        <f>IF(A97="","",COUNTIF('Przypadki testowe'!$C$2:$C$300,"*"&amp;A97&amp;"*"))</f>
        <v/>
      </c>
      <c r="F97">
        <f>IF(A97="","",COUNTIFS('Przypadki testowe'!$C$2:$C$300,"*"&amp;A97&amp;"*",'Przypadki testowe'!$K$2:$K$300,"Zaliczony"))</f>
        <v/>
      </c>
      <c r="G97">
        <f>IF(A97="","",COUNTIFS('Przypadki testowe'!$C$2:$C$300,"*"&amp;A97&amp;"*",'Przypadki testowe'!$K$2:$K$300,"Niezaliczony"))</f>
        <v/>
      </c>
      <c r="H97">
        <f>IF(A97="","",IF(E97&gt;0,"Pokryte","BRAK"))</f>
        <v/>
      </c>
    </row>
    <row r="98">
      <c r="E98">
        <f>IF(A98="","",COUNTIF('Przypadki testowe'!$C$2:$C$300,"*"&amp;A98&amp;"*"))</f>
        <v/>
      </c>
      <c r="F98">
        <f>IF(A98="","",COUNTIFS('Przypadki testowe'!$C$2:$C$300,"*"&amp;A98&amp;"*",'Przypadki testowe'!$K$2:$K$300,"Zaliczony"))</f>
        <v/>
      </c>
      <c r="G98">
        <f>IF(A98="","",COUNTIFS('Przypadki testowe'!$C$2:$C$300,"*"&amp;A98&amp;"*",'Przypadki testowe'!$K$2:$K$300,"Niezaliczony"))</f>
        <v/>
      </c>
      <c r="H98">
        <f>IF(A98="","",IF(E98&gt;0,"Pokryte","BRAK"))</f>
        <v/>
      </c>
    </row>
    <row r="99">
      <c r="E99">
        <f>IF(A99="","",COUNTIF('Przypadki testowe'!$C$2:$C$300,"*"&amp;A99&amp;"*"))</f>
        <v/>
      </c>
      <c r="F99">
        <f>IF(A99="","",COUNTIFS('Przypadki testowe'!$C$2:$C$300,"*"&amp;A99&amp;"*",'Przypadki testowe'!$K$2:$K$300,"Zaliczony"))</f>
        <v/>
      </c>
      <c r="G99">
        <f>IF(A99="","",COUNTIFS('Przypadki testowe'!$C$2:$C$300,"*"&amp;A99&amp;"*",'Przypadki testowe'!$K$2:$K$300,"Niezaliczony"))</f>
        <v/>
      </c>
      <c r="H99">
        <f>IF(A99="","",IF(E99&gt;0,"Pokryte","BRAK"))</f>
        <v/>
      </c>
    </row>
    <row r="100">
      <c r="E100">
        <f>IF(A100="","",COUNTIF('Przypadki testowe'!$C$2:$C$300,"*"&amp;A100&amp;"*"))</f>
        <v/>
      </c>
      <c r="F100">
        <f>IF(A100="","",COUNTIFS('Przypadki testowe'!$C$2:$C$300,"*"&amp;A100&amp;"*",'Przypadki testowe'!$K$2:$K$300,"Zaliczony"))</f>
        <v/>
      </c>
      <c r="G100">
        <f>IF(A100="","",COUNTIFS('Przypadki testowe'!$C$2:$C$300,"*"&amp;A100&amp;"*",'Przypadki testowe'!$K$2:$K$300,"Niezaliczony"))</f>
        <v/>
      </c>
      <c r="H100">
        <f>IF(A100="","",IF(E100&gt;0,"Pokryte","BRAK"))</f>
        <v/>
      </c>
    </row>
    <row r="101">
      <c r="E101">
        <f>IF(A101="","",COUNTIF('Przypadki testowe'!$C$2:$C$300,"*"&amp;A101&amp;"*"))</f>
        <v/>
      </c>
      <c r="F101">
        <f>IF(A101="","",COUNTIFS('Przypadki testowe'!$C$2:$C$300,"*"&amp;A101&amp;"*",'Przypadki testowe'!$K$2:$K$300,"Zaliczony"))</f>
        <v/>
      </c>
      <c r="G101">
        <f>IF(A101="","",COUNTIFS('Przypadki testowe'!$C$2:$C$300,"*"&amp;A101&amp;"*",'Przypadki testowe'!$K$2:$K$300,"Niezaliczony"))</f>
        <v/>
      </c>
      <c r="H101">
        <f>IF(A101="","",IF(E101&gt;0,"Pokryte","BRAK"))</f>
        <v/>
      </c>
    </row>
    <row r="102">
      <c r="E102">
        <f>IF(A102="","",COUNTIF('Przypadki testowe'!$C$2:$C$300,"*"&amp;A102&amp;"*"))</f>
        <v/>
      </c>
      <c r="F102">
        <f>IF(A102="","",COUNTIFS('Przypadki testowe'!$C$2:$C$300,"*"&amp;A102&amp;"*",'Przypadki testowe'!$K$2:$K$300,"Zaliczony"))</f>
        <v/>
      </c>
      <c r="G102">
        <f>IF(A102="","",COUNTIFS('Przypadki testowe'!$C$2:$C$300,"*"&amp;A102&amp;"*",'Przypadki testowe'!$K$2:$K$300,"Niezaliczony"))</f>
        <v/>
      </c>
      <c r="H102">
        <f>IF(A102="","",IF(E102&gt;0,"Pokryte","BRAK"))</f>
        <v/>
      </c>
    </row>
    <row r="103">
      <c r="E103">
        <f>IF(A103="","",COUNTIF('Przypadki testowe'!$C$2:$C$300,"*"&amp;A103&amp;"*"))</f>
        <v/>
      </c>
      <c r="F103">
        <f>IF(A103="","",COUNTIFS('Przypadki testowe'!$C$2:$C$300,"*"&amp;A103&amp;"*",'Przypadki testowe'!$K$2:$K$300,"Zaliczony"))</f>
        <v/>
      </c>
      <c r="G103">
        <f>IF(A103="","",COUNTIFS('Przypadki testowe'!$C$2:$C$300,"*"&amp;A103&amp;"*",'Przypadki testowe'!$K$2:$K$300,"Niezaliczony"))</f>
        <v/>
      </c>
      <c r="H103">
        <f>IF(A103="","",IF(E103&gt;0,"Pokryte","BRAK"))</f>
        <v/>
      </c>
    </row>
    <row r="104">
      <c r="E104">
        <f>IF(A104="","",COUNTIF('Przypadki testowe'!$C$2:$C$300,"*"&amp;A104&amp;"*"))</f>
        <v/>
      </c>
      <c r="F104">
        <f>IF(A104="","",COUNTIFS('Przypadki testowe'!$C$2:$C$300,"*"&amp;A104&amp;"*",'Przypadki testowe'!$K$2:$K$300,"Zaliczony"))</f>
        <v/>
      </c>
      <c r="G104">
        <f>IF(A104="","",COUNTIFS('Przypadki testowe'!$C$2:$C$300,"*"&amp;A104&amp;"*",'Przypadki testowe'!$K$2:$K$300,"Niezaliczony"))</f>
        <v/>
      </c>
      <c r="H104">
        <f>IF(A104="","",IF(E104&gt;0,"Pokryte","BRAK"))</f>
        <v/>
      </c>
    </row>
    <row r="105">
      <c r="E105">
        <f>IF(A105="","",COUNTIF('Przypadki testowe'!$C$2:$C$300,"*"&amp;A105&amp;"*"))</f>
        <v/>
      </c>
      <c r="F105">
        <f>IF(A105="","",COUNTIFS('Przypadki testowe'!$C$2:$C$300,"*"&amp;A105&amp;"*",'Przypadki testowe'!$K$2:$K$300,"Zaliczony"))</f>
        <v/>
      </c>
      <c r="G105">
        <f>IF(A105="","",COUNTIFS('Przypadki testowe'!$C$2:$C$300,"*"&amp;A105&amp;"*",'Przypadki testowe'!$K$2:$K$300,"Niezaliczony"))</f>
        <v/>
      </c>
      <c r="H105">
        <f>IF(A105="","",IF(E105&gt;0,"Pokryte","BRAK"))</f>
        <v/>
      </c>
    </row>
    <row r="106">
      <c r="E106">
        <f>IF(A106="","",COUNTIF('Przypadki testowe'!$C$2:$C$300,"*"&amp;A106&amp;"*"))</f>
        <v/>
      </c>
      <c r="F106">
        <f>IF(A106="","",COUNTIFS('Przypadki testowe'!$C$2:$C$300,"*"&amp;A106&amp;"*",'Przypadki testowe'!$K$2:$K$300,"Zaliczony"))</f>
        <v/>
      </c>
      <c r="G106">
        <f>IF(A106="","",COUNTIFS('Przypadki testowe'!$C$2:$C$300,"*"&amp;A106&amp;"*",'Przypadki testowe'!$K$2:$K$300,"Niezaliczony"))</f>
        <v/>
      </c>
      <c r="H106">
        <f>IF(A106="","",IF(E106&gt;0,"Pokryte","BRAK"))</f>
        <v/>
      </c>
    </row>
    <row r="107">
      <c r="E107">
        <f>IF(A107="","",COUNTIF('Przypadki testowe'!$C$2:$C$300,"*"&amp;A107&amp;"*"))</f>
        <v/>
      </c>
      <c r="F107">
        <f>IF(A107="","",COUNTIFS('Przypadki testowe'!$C$2:$C$300,"*"&amp;A107&amp;"*",'Przypadki testowe'!$K$2:$K$300,"Zaliczony"))</f>
        <v/>
      </c>
      <c r="G107">
        <f>IF(A107="","",COUNTIFS('Przypadki testowe'!$C$2:$C$300,"*"&amp;A107&amp;"*",'Przypadki testowe'!$K$2:$K$300,"Niezaliczony"))</f>
        <v/>
      </c>
      <c r="H107">
        <f>IF(A107="","",IF(E107&gt;0,"Pokryte","BRAK"))</f>
        <v/>
      </c>
    </row>
    <row r="108">
      <c r="E108">
        <f>IF(A108="","",COUNTIF('Przypadki testowe'!$C$2:$C$300,"*"&amp;A108&amp;"*"))</f>
        <v/>
      </c>
      <c r="F108">
        <f>IF(A108="","",COUNTIFS('Przypadki testowe'!$C$2:$C$300,"*"&amp;A108&amp;"*",'Przypadki testowe'!$K$2:$K$300,"Zaliczony"))</f>
        <v/>
      </c>
      <c r="G108">
        <f>IF(A108="","",COUNTIFS('Przypadki testowe'!$C$2:$C$300,"*"&amp;A108&amp;"*",'Przypadki testowe'!$K$2:$K$300,"Niezaliczony"))</f>
        <v/>
      </c>
      <c r="H108">
        <f>IF(A108="","",IF(E108&gt;0,"Pokryte","BRAK"))</f>
        <v/>
      </c>
    </row>
    <row r="109">
      <c r="E109">
        <f>IF(A109="","",COUNTIF('Przypadki testowe'!$C$2:$C$300,"*"&amp;A109&amp;"*"))</f>
        <v/>
      </c>
      <c r="F109">
        <f>IF(A109="","",COUNTIFS('Przypadki testowe'!$C$2:$C$300,"*"&amp;A109&amp;"*",'Przypadki testowe'!$K$2:$K$300,"Zaliczony"))</f>
        <v/>
      </c>
      <c r="G109">
        <f>IF(A109="","",COUNTIFS('Przypadki testowe'!$C$2:$C$300,"*"&amp;A109&amp;"*",'Przypadki testowe'!$K$2:$K$300,"Niezaliczony"))</f>
        <v/>
      </c>
      <c r="H109">
        <f>IF(A109="","",IF(E109&gt;0,"Pokryte","BRAK"))</f>
        <v/>
      </c>
    </row>
    <row r="110">
      <c r="E110">
        <f>IF(A110="","",COUNTIF('Przypadki testowe'!$C$2:$C$300,"*"&amp;A110&amp;"*"))</f>
        <v/>
      </c>
      <c r="F110">
        <f>IF(A110="","",COUNTIFS('Przypadki testowe'!$C$2:$C$300,"*"&amp;A110&amp;"*",'Przypadki testowe'!$K$2:$K$300,"Zaliczony"))</f>
        <v/>
      </c>
      <c r="G110">
        <f>IF(A110="","",COUNTIFS('Przypadki testowe'!$C$2:$C$300,"*"&amp;A110&amp;"*",'Przypadki testowe'!$K$2:$K$300,"Niezaliczony"))</f>
        <v/>
      </c>
      <c r="H110">
        <f>IF(A110="","",IF(E110&gt;0,"Pokryte","BRAK"))</f>
        <v/>
      </c>
    </row>
    <row r="111">
      <c r="E111">
        <f>IF(A111="","",COUNTIF('Przypadki testowe'!$C$2:$C$300,"*"&amp;A111&amp;"*"))</f>
        <v/>
      </c>
      <c r="F111">
        <f>IF(A111="","",COUNTIFS('Przypadki testowe'!$C$2:$C$300,"*"&amp;A111&amp;"*",'Przypadki testowe'!$K$2:$K$300,"Zaliczony"))</f>
        <v/>
      </c>
      <c r="G111">
        <f>IF(A111="","",COUNTIFS('Przypadki testowe'!$C$2:$C$300,"*"&amp;A111&amp;"*",'Przypadki testowe'!$K$2:$K$300,"Niezaliczony"))</f>
        <v/>
      </c>
      <c r="H111">
        <f>IF(A111="","",IF(E111&gt;0,"Pokryte","BRAK"))</f>
        <v/>
      </c>
    </row>
    <row r="112">
      <c r="E112">
        <f>IF(A112="","",COUNTIF('Przypadki testowe'!$C$2:$C$300,"*"&amp;A112&amp;"*"))</f>
        <v/>
      </c>
      <c r="F112">
        <f>IF(A112="","",COUNTIFS('Przypadki testowe'!$C$2:$C$300,"*"&amp;A112&amp;"*",'Przypadki testowe'!$K$2:$K$300,"Zaliczony"))</f>
        <v/>
      </c>
      <c r="G112">
        <f>IF(A112="","",COUNTIFS('Przypadki testowe'!$C$2:$C$300,"*"&amp;A112&amp;"*",'Przypadki testowe'!$K$2:$K$300,"Niezaliczony"))</f>
        <v/>
      </c>
      <c r="H112">
        <f>IF(A112="","",IF(E112&gt;0,"Pokryte","BRAK"))</f>
        <v/>
      </c>
    </row>
    <row r="113">
      <c r="E113">
        <f>IF(A113="","",COUNTIF('Przypadki testowe'!$C$2:$C$300,"*"&amp;A113&amp;"*"))</f>
        <v/>
      </c>
      <c r="F113">
        <f>IF(A113="","",COUNTIFS('Przypadki testowe'!$C$2:$C$300,"*"&amp;A113&amp;"*",'Przypadki testowe'!$K$2:$K$300,"Zaliczony"))</f>
        <v/>
      </c>
      <c r="G113">
        <f>IF(A113="","",COUNTIFS('Przypadki testowe'!$C$2:$C$300,"*"&amp;A113&amp;"*",'Przypadki testowe'!$K$2:$K$300,"Niezaliczony"))</f>
        <v/>
      </c>
      <c r="H113">
        <f>IF(A113="","",IF(E113&gt;0,"Pokryte","BRAK"))</f>
        <v/>
      </c>
    </row>
    <row r="114">
      <c r="E114">
        <f>IF(A114="","",COUNTIF('Przypadki testowe'!$C$2:$C$300,"*"&amp;A114&amp;"*"))</f>
        <v/>
      </c>
      <c r="F114">
        <f>IF(A114="","",COUNTIFS('Przypadki testowe'!$C$2:$C$300,"*"&amp;A114&amp;"*",'Przypadki testowe'!$K$2:$K$300,"Zaliczony"))</f>
        <v/>
      </c>
      <c r="G114">
        <f>IF(A114="","",COUNTIFS('Przypadki testowe'!$C$2:$C$300,"*"&amp;A114&amp;"*",'Przypadki testowe'!$K$2:$K$300,"Niezaliczony"))</f>
        <v/>
      </c>
      <c r="H114">
        <f>IF(A114="","",IF(E114&gt;0,"Pokryte","BRAK"))</f>
        <v/>
      </c>
    </row>
    <row r="115">
      <c r="E115">
        <f>IF(A115="","",COUNTIF('Przypadki testowe'!$C$2:$C$300,"*"&amp;A115&amp;"*"))</f>
        <v/>
      </c>
      <c r="F115">
        <f>IF(A115="","",COUNTIFS('Przypadki testowe'!$C$2:$C$300,"*"&amp;A115&amp;"*",'Przypadki testowe'!$K$2:$K$300,"Zaliczony"))</f>
        <v/>
      </c>
      <c r="G115">
        <f>IF(A115="","",COUNTIFS('Przypadki testowe'!$C$2:$C$300,"*"&amp;A115&amp;"*",'Przypadki testowe'!$K$2:$K$300,"Niezaliczony"))</f>
        <v/>
      </c>
      <c r="H115">
        <f>IF(A115="","",IF(E115&gt;0,"Pokryte","BRAK"))</f>
        <v/>
      </c>
    </row>
    <row r="116">
      <c r="E116">
        <f>IF(A116="","",COUNTIF('Przypadki testowe'!$C$2:$C$300,"*"&amp;A116&amp;"*"))</f>
        <v/>
      </c>
      <c r="F116">
        <f>IF(A116="","",COUNTIFS('Przypadki testowe'!$C$2:$C$300,"*"&amp;A116&amp;"*",'Przypadki testowe'!$K$2:$K$300,"Zaliczony"))</f>
        <v/>
      </c>
      <c r="G116">
        <f>IF(A116="","",COUNTIFS('Przypadki testowe'!$C$2:$C$300,"*"&amp;A116&amp;"*",'Przypadki testowe'!$K$2:$K$300,"Niezaliczony"))</f>
        <v/>
      </c>
      <c r="H116">
        <f>IF(A116="","",IF(E116&gt;0,"Pokryte","BRAK"))</f>
        <v/>
      </c>
    </row>
    <row r="117">
      <c r="E117">
        <f>IF(A117="","",COUNTIF('Przypadki testowe'!$C$2:$C$300,"*"&amp;A117&amp;"*"))</f>
        <v/>
      </c>
      <c r="F117">
        <f>IF(A117="","",COUNTIFS('Przypadki testowe'!$C$2:$C$300,"*"&amp;A117&amp;"*",'Przypadki testowe'!$K$2:$K$300,"Zaliczony"))</f>
        <v/>
      </c>
      <c r="G117">
        <f>IF(A117="","",COUNTIFS('Przypadki testowe'!$C$2:$C$300,"*"&amp;A117&amp;"*",'Przypadki testowe'!$K$2:$K$300,"Niezaliczony"))</f>
        <v/>
      </c>
      <c r="H117">
        <f>IF(A117="","",IF(E117&gt;0,"Pokryte","BRAK"))</f>
        <v/>
      </c>
    </row>
    <row r="118">
      <c r="E118">
        <f>IF(A118="","",COUNTIF('Przypadki testowe'!$C$2:$C$300,"*"&amp;A118&amp;"*"))</f>
        <v/>
      </c>
      <c r="F118">
        <f>IF(A118="","",COUNTIFS('Przypadki testowe'!$C$2:$C$300,"*"&amp;A118&amp;"*",'Przypadki testowe'!$K$2:$K$300,"Zaliczony"))</f>
        <v/>
      </c>
      <c r="G118">
        <f>IF(A118="","",COUNTIFS('Przypadki testowe'!$C$2:$C$300,"*"&amp;A118&amp;"*",'Przypadki testowe'!$K$2:$K$300,"Niezaliczony"))</f>
        <v/>
      </c>
      <c r="H118">
        <f>IF(A118="","",IF(E118&gt;0,"Pokryte","BRAK"))</f>
        <v/>
      </c>
    </row>
    <row r="119">
      <c r="E119">
        <f>IF(A119="","",COUNTIF('Przypadki testowe'!$C$2:$C$300,"*"&amp;A119&amp;"*"))</f>
        <v/>
      </c>
      <c r="F119">
        <f>IF(A119="","",COUNTIFS('Przypadki testowe'!$C$2:$C$300,"*"&amp;A119&amp;"*",'Przypadki testowe'!$K$2:$K$300,"Zaliczony"))</f>
        <v/>
      </c>
      <c r="G119">
        <f>IF(A119="","",COUNTIFS('Przypadki testowe'!$C$2:$C$300,"*"&amp;A119&amp;"*",'Przypadki testowe'!$K$2:$K$300,"Niezaliczony"))</f>
        <v/>
      </c>
      <c r="H119">
        <f>IF(A119="","",IF(E119&gt;0,"Pokryte","BRAK"))</f>
        <v/>
      </c>
    </row>
    <row r="120">
      <c r="E120">
        <f>IF(A120="","",COUNTIF('Przypadki testowe'!$C$2:$C$300,"*"&amp;A120&amp;"*"))</f>
        <v/>
      </c>
      <c r="F120">
        <f>IF(A120="","",COUNTIFS('Przypadki testowe'!$C$2:$C$300,"*"&amp;A120&amp;"*",'Przypadki testowe'!$K$2:$K$300,"Zaliczony"))</f>
        <v/>
      </c>
      <c r="G120">
        <f>IF(A120="","",COUNTIFS('Przypadki testowe'!$C$2:$C$300,"*"&amp;A120&amp;"*",'Przypadki testowe'!$K$2:$K$300,"Niezaliczony"))</f>
        <v/>
      </c>
      <c r="H120">
        <f>IF(A120="","",IF(E120&gt;0,"Pokryte","BRAK"))</f>
        <v/>
      </c>
    </row>
  </sheetData>
  <autoFilter ref="A1:I1"/>
  <dataValidations count="1">
    <dataValidation sqref="C2:C300" showDropDown="0" showInputMessage="1" showErrorMessage="1" allowBlank="1" errorTitle="Priorytet" error="Wybierz wartość z listy rozwijanej." promptTitle="Priorytet" prompt="Wybierz z listy" type="list">
      <formula1>"Wysoki,Średni,Niski"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Q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1" customWidth="1" min="3" max="3"/>
    <col width="13" customWidth="1" min="4" max="4"/>
    <col width="28" customWidth="1" min="5" max="5"/>
    <col width="26" customWidth="1" min="6" max="6"/>
    <col width="22" customWidth="1" min="7" max="7"/>
    <col width="44" customWidth="1" min="8" max="8"/>
    <col width="34" customWidth="1" min="9" max="9"/>
    <col width="38" customWidth="1" min="10" max="10"/>
    <col width="11" customWidth="1" min="11" max="11"/>
    <col width="10" customWidth="1" min="12" max="12"/>
    <col width="12" customWidth="1" min="13" max="13"/>
    <col width="13" customWidth="1" min="14" max="14"/>
    <col width="18" customWidth="1" min="15" max="15"/>
    <col width="18" customWidth="1" min="16" max="16"/>
    <col width="32" customWidth="1" min="17" max="17"/>
  </cols>
  <sheetData>
    <row r="1" ht="32" customHeight="1">
      <c r="A1" s="6" t="inlineStr">
        <is>
          <t>ID</t>
        </is>
      </c>
      <c r="B1" s="6" t="inlineStr">
        <is>
          <t>Tytuł (krótki opis awarii)</t>
        </is>
      </c>
      <c r="C1" s="6" t="inlineStr">
        <is>
          <t>Data</t>
        </is>
      </c>
      <c r="D1" s="6" t="inlineStr">
        <is>
          <t>Zgłaszający</t>
        </is>
      </c>
      <c r="E1" s="6" t="inlineStr">
        <is>
          <t>Obiekt testów / URL</t>
        </is>
      </c>
      <c r="F1" s="6" t="inlineStr">
        <is>
          <t>Środowisko</t>
        </is>
      </c>
      <c r="G1" s="6" t="inlineStr">
        <is>
          <t>Warunki wstępne</t>
        </is>
      </c>
      <c r="H1" s="6" t="inlineStr">
        <is>
          <t>Kroki do odtworzenia</t>
        </is>
      </c>
      <c r="I1" s="6" t="inlineStr">
        <is>
          <t>Oczekiwany rezultat</t>
        </is>
      </c>
      <c r="J1" s="6" t="inlineStr">
        <is>
          <t>Rzeczywisty rezultat</t>
        </is>
      </c>
      <c r="K1" s="6" t="inlineStr">
        <is>
          <t>Ważność</t>
        </is>
      </c>
      <c r="L1" s="6" t="inlineStr">
        <is>
          <t>Priorytet</t>
        </is>
      </c>
      <c r="M1" s="6" t="inlineStr">
        <is>
          <t>Powtarzalność</t>
        </is>
      </c>
      <c r="N1" s="6" t="inlineStr">
        <is>
          <t>Status</t>
        </is>
      </c>
      <c r="O1" s="6" t="inlineStr">
        <is>
          <t>Powiązany przypadek / wymaganie</t>
        </is>
      </c>
      <c r="P1" s="6" t="inlineStr">
        <is>
          <t>Załączniki</t>
        </is>
      </c>
      <c r="Q1" s="6" t="inlineStr">
        <is>
          <t>Uwagi</t>
        </is>
      </c>
    </row>
    <row r="2">
      <c r="A2" s="7" t="inlineStr">
        <is>
          <t>DEF-001</t>
        </is>
      </c>
      <c r="B2" s="7" t="inlineStr">
        <is>
          <t>Kalkulator ceny biletów: opłata serwisowa objęta rabatem 10%</t>
        </is>
      </c>
      <c r="C2" s="7" t="inlineStr">
        <is>
          <t>2026-10-06</t>
        </is>
      </c>
      <c r="D2" s="7" t="inlineStr">
        <is>
          <t>J. Kowalski</t>
        </is>
      </c>
      <c r="E2" s="7" t="inlineStr">
        <is>
          <t>http://localhost/biletto/kalkulator.php (przykład fikcyjny)</t>
        </is>
      </c>
      <c r="F2" s="7" t="inlineStr">
        <is>
          <t>Windows 11, Chrome 141, rozdzielczość 1920×1080</t>
        </is>
      </c>
      <c r="G2" s="7" t="inlineStr">
        <is>
          <t>Dane początkowe; otwarta strona Kalkulator</t>
        </is>
      </c>
      <c r="H2" s="7" t="inlineStr">
        <is>
          <t>1. Wybierz sektor „Płyta”, liczba biletów 2.
2. Zaznacz „Mam kartę Klubu Fana”, pole kodu puste, dostawa E-bilet.
3. Kliknij „Oblicz”.</t>
        </is>
      </c>
      <c r="I2" s="7" t="inlineStr">
        <is>
          <t>Wartość biletów 500.00 zł, rabat 10%, opłata serwisowa 4.00 zł, do zapłaty 454.00 zł (REQ-CEN-07: opłata nie podlega rabatowi)</t>
        </is>
      </c>
      <c r="J2" s="7" t="inlineStr">
        <is>
          <t>Opłata serwisowa 3.60 zł, do zapłaty 453.60 zł</t>
        </is>
      </c>
      <c r="K2" s="7" t="inlineStr">
        <is>
          <t>Wysoka</t>
        </is>
      </c>
      <c r="L2" s="7" t="inlineStr">
        <is>
          <t>Wysoki</t>
        </is>
      </c>
      <c r="M2" s="7" t="inlineStr">
        <is>
          <t>Zawsze</t>
        </is>
      </c>
      <c r="N2" s="7" t="inlineStr">
        <is>
          <t>Nowy</t>
        </is>
      </c>
      <c r="O2" s="7" t="inlineStr">
        <is>
          <t>REQ-CEN-07</t>
        </is>
      </c>
      <c r="P2" s="7" t="inlineStr">
        <is>
          <t>DEF-001.png</t>
        </is>
      </c>
      <c r="Q2" s="7" t="inlineStr">
        <is>
          <t>PRZYKŁAD – usuń lub zastąp</t>
        </is>
      </c>
    </row>
  </sheetData>
  <autoFilter ref="A1:Q1"/>
  <dataValidations count="4">
    <dataValidation sqref="K2:K300" showDropDown="0" showInputMessage="1" showErrorMessage="1" allowBlank="1" errorTitle="Ważność" error="Wybierz wartość z listy rozwijanej." promptTitle="Ważność" prompt="Wybierz z listy" type="list">
      <formula1>"Krytyczna,Wysoka,Średnia,Niska"</formula1>
    </dataValidation>
    <dataValidation sqref="L2:L300" showDropDown="0" showInputMessage="1" showErrorMessage="1" allowBlank="1" errorTitle="Priorytet" error="Wybierz wartość z listy rozwijanej." promptTitle="Priorytet" prompt="Wybierz z listy" type="list">
      <formula1>"Wysoki,Średni,Niski"</formula1>
    </dataValidation>
    <dataValidation sqref="M2:M300" showDropDown="0" showInputMessage="1" showErrorMessage="1" allowBlank="1" errorTitle="Powtarzalność" error="Wybierz wartość z listy rozwijanej." promptTitle="Powtarzalność" prompt="Wybierz z listy" type="list">
      <formula1>"Zawsze,Czasami,Jednorazowo"</formula1>
    </dataValidation>
    <dataValidation sqref="N2:N300" showDropDown="0" showInputMessage="1" showErrorMessage="1" allowBlank="1" errorTitle="Status" error="Wybierz wartość z listy rozwijanej." promptTitle="Status" prompt="Wybierz z listy" type="list">
      <formula1>"Nowy,Otwarty,W naprawie,Naprawiony,Do retestu,Zamknięty,Odrzucony,Odroczony,Ponownie otwarty"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60" customWidth="1" min="3" max="3"/>
    <col width="14" customWidth="1" min="4" max="4"/>
    <col width="52" customWidth="1" min="5" max="5"/>
    <col width="11" customWidth="1" min="6" max="6"/>
  </cols>
  <sheetData>
    <row r="1" ht="32" customHeight="1">
      <c r="A1" s="6" t="inlineStr">
        <is>
          <t>Nr</t>
        </is>
      </c>
      <c r="B1" s="6" t="inlineStr">
        <is>
          <t>Obszar</t>
        </is>
      </c>
      <c r="C1" s="6" t="inlineStr">
        <is>
          <t>Pozycja kontrolna (pytanie; „Tak” = OK)</t>
        </is>
      </c>
      <c r="D1" s="6" t="inlineStr">
        <is>
          <t>Wynik</t>
        </is>
      </c>
      <c r="E1" s="6" t="inlineStr">
        <is>
          <t>Uwagi / dowód</t>
        </is>
      </c>
      <c r="F1" s="6" t="inlineStr">
        <is>
          <t>ID defektu</t>
        </is>
      </c>
    </row>
    <row r="2">
      <c r="A2" s="7" t="inlineStr">
        <is>
          <t>CHK-01</t>
        </is>
      </c>
      <c r="B2" s="7" t="inlineStr">
        <is>
          <t>Dostępność</t>
        </is>
      </c>
      <c r="C2" s="7" t="inlineStr">
        <is>
          <t>Czy każde pole formularza ma widoczną etykietę powiązaną z polem (label for)?</t>
        </is>
      </c>
      <c r="D2" s="7" t="inlineStr">
        <is>
          <t>Nie sprawdzono</t>
        </is>
      </c>
      <c r="E2" s="7" t="inlineStr"/>
      <c r="F2" s="7" t="inlineStr"/>
    </row>
  </sheetData>
  <autoFilter ref="A1:F1"/>
  <dataValidations count="1">
    <dataValidation sqref="D2:D300" showDropDown="0" showInputMessage="1" showErrorMessage="1" allowBlank="1" errorTitle="Wynik" error="Wybierz wartość z listy rozwijanej." promptTitle="Wynik" prompt="Wybierz z listy" type="list">
      <formula1>"Tak,Nie,Nie dotyczy,Nie sprawdzono"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80" customWidth="1" min="3" max="3"/>
  </cols>
  <sheetData>
    <row r="1" ht="32" customHeight="1">
      <c r="A1" s="6" t="inlineStr">
        <is>
          <t>Pozycja</t>
        </is>
      </c>
      <c r="B1" s="6" t="inlineStr">
        <is>
          <t>Wartość</t>
        </is>
      </c>
      <c r="C1" s="6" t="inlineStr">
        <is>
          <t>Komentarz</t>
        </is>
      </c>
    </row>
    <row r="2">
      <c r="A2" s="8" t="inlineStr">
        <is>
          <t>IDENTYFIKACJA</t>
        </is>
      </c>
      <c r="B2" s="9" t="n"/>
      <c r="C2" s="9" t="n"/>
    </row>
    <row r="3">
      <c r="A3" s="10" t="inlineStr">
        <is>
          <t>Identyfikator raportu</t>
        </is>
      </c>
      <c r="B3" s="11" t="inlineStr"/>
      <c r="C3" s="11" t="inlineStr"/>
    </row>
    <row r="4">
      <c r="A4" s="10" t="inlineStr">
        <is>
          <t>Obiekt testów</t>
        </is>
      </c>
      <c r="B4" s="11" t="inlineStr"/>
      <c r="C4" s="11" t="inlineStr"/>
    </row>
    <row r="5">
      <c r="A5" s="10" t="inlineStr">
        <is>
          <t>Okres testów</t>
        </is>
      </c>
      <c r="B5" s="11" t="inlineStr"/>
      <c r="C5" s="11" t="inlineStr"/>
    </row>
    <row r="6">
      <c r="A6" s="10" t="inlineStr">
        <is>
          <t>Autor</t>
        </is>
      </c>
      <c r="B6" s="11" t="inlineStr"/>
      <c r="C6" s="11" t="inlineStr"/>
    </row>
    <row r="7">
      <c r="A7" s="8" t="inlineStr">
        <is>
          <t>PRZYPADKI TESTOWE</t>
        </is>
      </c>
      <c r="B7" s="9" t="n"/>
      <c r="C7" s="9" t="n"/>
    </row>
    <row r="8">
      <c r="A8" s="10" t="inlineStr">
        <is>
          <t>Zaprojektowane przypadki testowe</t>
        </is>
      </c>
      <c r="B8" s="11">
        <f>COUNTA('Przypadki testowe'!A2:A300)</f>
        <v/>
      </c>
      <c r="C8" s="11" t="inlineStr"/>
    </row>
    <row r="9">
      <c r="A9" s="10" t="inlineStr">
        <is>
          <t>Zaliczone</t>
        </is>
      </c>
      <c r="B9" s="11">
        <f>COUNTIF('Przypadki testowe'!K2:K300,"Zaliczony")</f>
        <v/>
      </c>
      <c r="C9" s="11" t="inlineStr"/>
    </row>
    <row r="10">
      <c r="A10" s="10" t="inlineStr">
        <is>
          <t>Niezaliczone</t>
        </is>
      </c>
      <c r="B10" s="11">
        <f>COUNTIF('Przypadki testowe'!K2:K300,"Niezaliczony")</f>
        <v/>
      </c>
      <c r="C10" s="11" t="inlineStr"/>
    </row>
    <row r="11">
      <c r="A11" s="10" t="inlineStr">
        <is>
          <t>Zablokowane</t>
        </is>
      </c>
      <c r="B11" s="11">
        <f>COUNTIF('Przypadki testowe'!K2:K300,"Zablokowany")</f>
        <v/>
      </c>
      <c r="C11" s="11" t="inlineStr"/>
    </row>
    <row r="12">
      <c r="A12" s="10" t="inlineStr">
        <is>
          <t>Pominięte</t>
        </is>
      </c>
      <c r="B12" s="11">
        <f>COUNTIF('Przypadki testowe'!K2:K300,"Pominięty")</f>
        <v/>
      </c>
      <c r="C12" s="11" t="inlineStr"/>
    </row>
    <row r="13">
      <c r="A13" s="10" t="inlineStr">
        <is>
          <t>Nie wykonano</t>
        </is>
      </c>
      <c r="B13" s="11">
        <f>COUNTIF('Przypadki testowe'!K2:K300,"Nie wykonano")</f>
        <v/>
      </c>
      <c r="C13" s="11" t="inlineStr"/>
    </row>
    <row r="14">
      <c r="A14" s="10" t="inlineStr">
        <is>
          <t>% wykonanych (zaliczone + niezaliczone)</t>
        </is>
      </c>
      <c r="B14" s="12">
        <f>IFERROR((B9+B10)/B8,0)</f>
        <v/>
      </c>
      <c r="C14" s="11" t="inlineStr"/>
    </row>
    <row r="15">
      <c r="A15" s="10" t="inlineStr">
        <is>
          <t>% zaliczonych spośród wykonanych</t>
        </is>
      </c>
      <c r="B15" s="12">
        <f>IFERROR(B9/(B9+B10),0)</f>
        <v/>
      </c>
      <c r="C15" s="11" t="inlineStr"/>
    </row>
    <row r="16">
      <c r="A16" s="8" t="inlineStr">
        <is>
          <t>WYMAGANIA (MACIERZ ŚLEDZENIA)</t>
        </is>
      </c>
      <c r="B16" s="9" t="n"/>
      <c r="C16" s="9" t="n"/>
    </row>
    <row r="17">
      <c r="A17" s="10" t="inlineStr">
        <is>
          <t>Wymagania w macierzy</t>
        </is>
      </c>
      <c r="B17" s="11">
        <f>COUNTA('Macierz śledzenia'!A2:A300)</f>
        <v/>
      </c>
      <c r="C17" s="11" t="inlineStr"/>
    </row>
    <row r="18">
      <c r="A18" s="10" t="inlineStr">
        <is>
          <t>Wymagania pokryte przypadkami</t>
        </is>
      </c>
      <c r="B18" s="11">
        <f>COUNTIF('Macierz śledzenia'!H2:H300,"Pokryte")</f>
        <v/>
      </c>
      <c r="C18" s="11" t="inlineStr"/>
    </row>
    <row r="19">
      <c r="A19" s="10" t="inlineStr">
        <is>
          <t>% pokrycia wymagań</t>
        </is>
      </c>
      <c r="B19" s="12">
        <f>IFERROR(B18/B17,0)</f>
        <v/>
      </c>
      <c r="C19" s="11" t="inlineStr"/>
    </row>
    <row r="20">
      <c r="A20" s="8" t="inlineStr">
        <is>
          <t>LISTA KONTROLNA</t>
        </is>
      </c>
      <c r="B20" s="9" t="n"/>
      <c r="C20" s="9" t="n"/>
    </row>
    <row r="21">
      <c r="A21" s="10" t="inlineStr">
        <is>
          <t>Pozycje listy kontrolnej</t>
        </is>
      </c>
      <c r="B21" s="11">
        <f>COUNTA('Lista kontrolna'!A2:A300)</f>
        <v/>
      </c>
      <c r="C21" s="11" t="inlineStr"/>
    </row>
    <row r="22">
      <c r="A22" s="10" t="inlineStr">
        <is>
          <t>Wynik „Tak”</t>
        </is>
      </c>
      <c r="B22" s="11">
        <f>COUNTIF('Lista kontrolna'!D2:D300,"Tak")</f>
        <v/>
      </c>
      <c r="C22" s="11" t="inlineStr"/>
    </row>
    <row r="23">
      <c r="A23" s="10" t="inlineStr">
        <is>
          <t>Wynik „Nie”</t>
        </is>
      </c>
      <c r="B23" s="11">
        <f>COUNTIF('Lista kontrolna'!D2:D300,"Nie")</f>
        <v/>
      </c>
      <c r="C23" s="11" t="inlineStr"/>
    </row>
    <row r="24">
      <c r="A24" s="10" t="inlineStr">
        <is>
          <t>Nie dotyczy / nie sprawdzono</t>
        </is>
      </c>
      <c r="B24" s="11">
        <f>COUNTIF('Lista kontrolna'!D2:D300,"Nie dotyczy")+COUNTIF('Lista kontrolna'!D2:D300,"Nie sprawdzono")</f>
        <v/>
      </c>
      <c r="C24" s="11" t="inlineStr"/>
    </row>
    <row r="25">
      <c r="A25" s="8" t="inlineStr">
        <is>
          <t>DEFEKTY</t>
        </is>
      </c>
      <c r="B25" s="9" t="n"/>
      <c r="C25" s="9" t="n"/>
    </row>
    <row r="26">
      <c r="A26" s="10" t="inlineStr">
        <is>
          <t>Zgłoszone defekty</t>
        </is>
      </c>
      <c r="B26" s="11">
        <f>COUNTA('Raporty defektów'!A2:A300)</f>
        <v/>
      </c>
      <c r="C26" s="11" t="inlineStr"/>
    </row>
    <row r="27">
      <c r="A27" s="10" t="inlineStr">
        <is>
          <t>– krytyczne</t>
        </is>
      </c>
      <c r="B27" s="11">
        <f>COUNTIF('Raporty defektów'!K2:K300,"Krytyczna")</f>
        <v/>
      </c>
      <c r="C27" s="11" t="inlineStr"/>
    </row>
    <row r="28">
      <c r="A28" s="10" t="inlineStr">
        <is>
          <t>– wysokie</t>
        </is>
      </c>
      <c r="B28" s="11">
        <f>COUNTIF('Raporty defektów'!K2:K300,"Wysoka")</f>
        <v/>
      </c>
      <c r="C28" s="11" t="inlineStr"/>
    </row>
    <row r="29">
      <c r="A29" s="10" t="inlineStr">
        <is>
          <t>– średnie</t>
        </is>
      </c>
      <c r="B29" s="11">
        <f>COUNTIF('Raporty defektów'!K2:K300,"Średnia")</f>
        <v/>
      </c>
      <c r="C29" s="11" t="inlineStr"/>
    </row>
    <row r="30">
      <c r="A30" s="10" t="inlineStr">
        <is>
          <t>– niskie</t>
        </is>
      </c>
      <c r="B30" s="11">
        <f>COUNTIF('Raporty defektów'!K2:K300,"Niska")</f>
        <v/>
      </c>
      <c r="C30" s="11" t="inlineStr"/>
    </row>
    <row r="31">
      <c r="A31" s="10" t="inlineStr">
        <is>
          <t>Otwarte (bez Zamknięty i Odrzucony)</t>
        </is>
      </c>
      <c r="B31" s="11">
        <f>B26-COUNTIF('Raporty defektów'!N2:N300,"Zamknięty")-COUNTIF('Raporty defektów'!N2:N300,"Odrzucony")</f>
        <v/>
      </c>
      <c r="C31" s="11" t="inlineStr"/>
    </row>
    <row r="32">
      <c r="A32" s="8" t="inlineStr">
        <is>
          <t>OCENA</t>
        </is>
      </c>
      <c r="B32" s="9" t="n"/>
      <c r="C32" s="9" t="n"/>
    </row>
    <row r="33">
      <c r="A33" s="10" t="inlineStr">
        <is>
          <t>Zakres wykonanych prac i odstępstwa od planu</t>
        </is>
      </c>
      <c r="B33" s="11" t="inlineStr"/>
      <c r="C33" s="11" t="inlineStr">
        <is>
          <t>Co zrobiono, czego nie zrobiono i dlaczego.</t>
        </is>
      </c>
    </row>
    <row r="34">
      <c r="A34" s="10" t="inlineStr">
        <is>
          <t>Najważniejsze problemy i ryzyka</t>
        </is>
      </c>
      <c r="B34" s="11" t="inlineStr"/>
      <c r="C34" s="11" t="inlineStr">
        <is>
          <t>Najpoważniejsze defekty, obszary nieprzetestowane.</t>
        </is>
      </c>
    </row>
    <row r="35">
      <c r="A35" s="10" t="inlineStr">
        <is>
          <t>Kryteria wyjścia spełnione?</t>
        </is>
      </c>
      <c r="B35" s="11" t="inlineStr"/>
      <c r="C35" s="11" t="inlineStr">
        <is>
          <t>Odnieś się do kryteriów z planu testów.</t>
        </is>
      </c>
    </row>
    <row r="36">
      <c r="A36" s="10" t="inlineStr">
        <is>
          <t>Rekomendacja</t>
        </is>
      </c>
      <c r="B36" s="11" t="inlineStr"/>
      <c r="C36" s="11" t="inlineStr">
        <is>
          <t>Np. „wydać / nie wydawać”, co naprawić w pierwszej kolejności.</t>
        </is>
      </c>
    </row>
    <row r="37">
      <c r="A37" s="10" t="inlineStr">
        <is>
          <t>Wnioski na przyszłość (lessons learned)</t>
        </is>
      </c>
      <c r="B37" s="11" t="inlineStr"/>
      <c r="C37" s="11" t="inlineStr"/>
    </row>
  </sheetData>
  <autoFilter ref="A1:C1"/>
  <dataValidations count="1">
    <dataValidation sqref="B35" showDropDown="0" showInputMessage="1" showErrorMessage="1" allowBlank="1" errorTitle="Kryteria wyjścia" error="Wybierz wartość z listy rozwijanej." promptTitle="Kryteria wyjścia" prompt="Wybierz z listy" type="list">
      <formula1>"Tak,Nie,Częściowo"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2026-09-27T06:27:38Z</dcterms:created>
  <dcterms:modified xmlns:dcterms="http://purl.org/dc/terms/" xmlns:xsi="http://www.w3.org/2001/XMLSchema-instance" xsi:type="dcterms:W3CDTF">2026-10-09T20:43:20Z</dcterms:modified>
</cp:coreProperties>
</file>