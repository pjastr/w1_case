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Przypadki testowe" sheetId="2" state="visible" r:id="rId2"/>
    <sheet xmlns:r="http://schemas.openxmlformats.org/officeDocument/2006/relationships" name="Macierz śledzenia" sheetId="3" state="visible" r:id="rId3"/>
    <sheet xmlns:r="http://schemas.openxmlformats.org/officeDocument/2006/relationships" name="Raporty defektów" sheetId="4" state="visible" r:id="rId4"/>
    <sheet xmlns:r="http://schemas.openxmlformats.org/officeDocument/2006/relationships" name="Lista kontrolna" sheetId="5" state="visible" r:id="rId5"/>
    <sheet xmlns:r="http://schemas.openxmlformats.org/officeDocument/2006/relationships" name="Raport z wykonania" sheetId="6" state="visible" r:id="rId6"/>
  </sheets>
  <definedNames>
    <definedName name="_xlnm._FilterDatabase" localSheetId="1" hidden="1">'Przypadki testowe'!$A$1:$O$1</definedName>
    <definedName name="_xlnm.Print_Titles" localSheetId="1">'Przypadki testowe'!$1:$1</definedName>
    <definedName name="_xlnm._FilterDatabase" localSheetId="2" hidden="1">'Macierz śledzenia'!$A$1:$I$1</definedName>
    <definedName name="_xlnm.Print_Titles" localSheetId="2">'Macierz śledzenia'!$1:$1</definedName>
    <definedName name="_xlnm._FilterDatabase" localSheetId="3" hidden="1">'Raporty defektów'!$A$1:$Q$1</definedName>
    <definedName name="_xlnm.Print_Titles" localSheetId="3">'Raporty defektów'!$1:$1</definedName>
    <definedName name="_xlnm._FilterDatabase" localSheetId="4" hidden="1">'Lista kontrolna'!$A$1:$F$1</definedName>
    <definedName name="_xlnm.Print_Titles" localSheetId="4">'Lista kontrolna'!$1:$1</definedName>
    <definedName name="_xlnm._FilterDatabase" localSheetId="5" hidden="1">'Raport z wykonania'!$A$1:$C$1</definedName>
    <definedName name="_xlnm.Print_Titles" localSheetId="5">'Raport z wykonania'!$1:$1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Szablon dokumentacji testowej</t>
        </is>
      </c>
      <c r="B1" s="2" t="inlineStr">
        <is>
          <t>Testowanie oprogramowania – ćwiczenia 1 (na podstawie ISO/IEC/IEEE 29119-3 i sylabusa ISTQB CTFL 4.0)</t>
        </is>
      </c>
    </row>
    <row r="2">
      <c r="A2" s="3" t="inlineStr">
        <is>
          <t>Autor (imię, nazwisko, nr albumu)</t>
        </is>
      </c>
      <c r="B2" s="4" t="inlineStr">
        <is>
          <t>Zespół TO (rozwiązanie wzorcowe)</t>
        </is>
      </c>
    </row>
    <row r="3">
      <c r="A3" s="3" t="inlineStr">
        <is>
          <t>Grupa / data</t>
        </is>
      </c>
      <c r="B3" s="4" t="inlineStr">
        <is>
          <t>gr. lab. / 2026-10-06</t>
        </is>
      </c>
    </row>
    <row r="4">
      <c r="A4" s="3" t="inlineStr">
        <is>
          <t>Przedmiot testów</t>
        </is>
      </c>
      <c r="B4" s="4" t="inlineStr">
        <is>
          <t>BiletTO 1.0 – serwis sprzedaży biletów na koncerty (specyfikacja: specyfikacja_BiletTO.md) oraz strony ćwiczeniowe the-internet (https://the-internet.herokuapp.com)</t>
        </is>
      </c>
    </row>
    <row r="5">
      <c r="A5" s="3" t="inlineStr"/>
      <c r="B5" s="4" t="inlineStr"/>
    </row>
    <row r="6">
      <c r="A6" s="5" t="inlineStr">
        <is>
          <t>ARKUSZE</t>
        </is>
      </c>
      <c r="B6" s="4" t="inlineStr"/>
    </row>
    <row r="7">
      <c r="A7" s="3" t="inlineStr">
        <is>
          <t>Przypadki testowe</t>
        </is>
      </c>
      <c r="B7" s="4" t="inlineStr">
        <is>
          <t>Specyfikacja przypadków testowych: jeden wiersz = jeden przypadek. ID w formacie TC-&lt;obszar&gt;-&lt;nr&gt;, np. TC-REJ-001. Kolumnę „Wymaganie” wypełnij identyfikatorami REQ-… (kilka – po przecinku).</t>
        </is>
      </c>
    </row>
    <row r="8">
      <c r="A8" s="3" t="inlineStr">
        <is>
          <t>Macierz śledzenia</t>
        </is>
      </c>
      <c r="B8" s="4" t="inlineStr">
        <is>
          <t>Jeden wiersz = jedno wymaganie. Kolumny „Liczba przypadków”, „Zaliczone”, „Niezaliczone” i „Pokrycie” liczą się same (formuły) na podstawie arkusza „Przypadki testowe”.</t>
        </is>
      </c>
    </row>
    <row r="9">
      <c r="A9" s="3" t="inlineStr">
        <is>
          <t>Raporty defektów</t>
        </is>
      </c>
      <c r="B9" s="4" t="inlineStr">
        <is>
          <t>Jeden wiersz = jeden raport o defekcie (ID: DEF-&lt;nr&gt;). Kroki muszą pozwolić odtworzyć awarię innej osobie. Zrzut ekranu: Win+Shift+S, zapisz jako DEF-&lt;nr&gt;.png i wpisz nazwę pliku w kolumnie „Załączniki”.</t>
        </is>
      </c>
    </row>
    <row r="10">
      <c r="A10" s="3" t="inlineStr">
        <is>
          <t>Lista kontrolna</t>
        </is>
      </c>
      <c r="B10" s="4" t="inlineStr">
        <is>
          <t>Pozycje formułuj jako pytania, na które odpowiedź „Tak” oznacza stan poprawny. Wynik „Nie” → wpisz dowód i (jeśli to defekt) ID raportu.</t>
        </is>
      </c>
    </row>
    <row r="11">
      <c r="A11" s="3" t="inlineStr">
        <is>
          <t>Raport z wykonania</t>
        </is>
      </c>
      <c r="B11" s="4" t="inlineStr">
        <is>
          <t>Podsumowanie wykonania testów. Liczby w kolumnie „Wartość” wyliczają się automatycznie – uzupełnij pola opisowe.</t>
        </is>
      </c>
    </row>
    <row r="12">
      <c r="A12" s="3" t="inlineStr"/>
      <c r="B12" s="4" t="inlineStr"/>
    </row>
    <row r="13">
      <c r="A13" s="5" t="inlineStr">
        <is>
          <t>STATUS PRZYPADKU</t>
        </is>
      </c>
      <c r="B13" s="4" t="inlineStr">
        <is>
      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      </is>
      </c>
    </row>
    <row r="14">
      <c r="A14" s="3" t="inlineStr">
        <is>
          <t>WAŻNOŚĆ (severity)</t>
        </is>
      </c>
      <c r="B14" s="4" t="inlineStr">
        <is>
      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      </is>
      </c>
    </row>
    <row r="15">
      <c r="A15" s="3" t="inlineStr">
        <is>
          <t>PRIORYTET (priority)</t>
        </is>
      </c>
      <c r="B15" s="4" t="inlineStr">
        <is>
      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      </is>
      </c>
    </row>
    <row r="16">
      <c r="A16" s="5" t="inlineStr">
        <is>
          <t>CYKL ŻYCIA DEFEKTU</t>
        </is>
      </c>
      <c r="B16" s="4" t="inlineStr">
        <is>
          <t>Nowy → Otwarty → W naprawie → Naprawiony → Do retestu → Zamknięty; ewentualnie Odrzucony (to nie defekt / nie do odtworzenia), Odroczony (naprawa później), Ponownie otwarty (retest nieudany).</t>
        </is>
      </c>
    </row>
    <row r="17">
      <c r="A17" s="5" t="inlineStr">
        <is>
          <t>TECHNIKA</t>
        </is>
      </c>
      <c r="B17" s="4" t="inlineStr">
        <is>
          <t>EP – podział na klasy równoważności; AWB – analiza wartości brzegowych; Doświadczenie – zgadywanie błędów, testowanie eksploracyjne; Na podstawie wymagania – test wyprowadzony wprost z treści wymagania.</t>
        </is>
      </c>
    </row>
    <row r="18">
      <c r="A18" s="3" t="inlineStr">
        <is>
          <t>Wiersze przykładowe</t>
        </is>
      </c>
      <c r="B18" s="4" t="inlineStr">
        <is>
          <t>Rozwiązanie wzorcowe – materiał dla prowadzącego.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5" customWidth="1" min="4" max="4"/>
    <col width="10" customWidth="1" min="5" max="5"/>
    <col width="30" customWidth="1" min="6" max="6"/>
    <col width="32" customWidth="1" min="7" max="7"/>
    <col width="44" customWidth="1" min="8" max="8"/>
    <col width="42" customWidth="1" min="9" max="9"/>
    <col width="30" customWidth="1" min="10" max="10"/>
    <col width="14" customWidth="1" min="11" max="11"/>
    <col width="11" customWidth="1" min="12" max="12"/>
    <col width="12" customWidth="1" min="13" max="13"/>
    <col width="13" customWidth="1" min="14" max="14"/>
    <col width="28" customWidth="1" min="15" max="15"/>
  </cols>
  <sheetData>
    <row r="1" ht="32" customHeight="1">
      <c r="A1" s="6" t="inlineStr">
        <is>
          <t>ID</t>
        </is>
      </c>
      <c r="B1" s="6" t="inlineStr">
        <is>
          <t>Tytuł</t>
        </is>
      </c>
      <c r="C1" s="6" t="inlineStr">
        <is>
          <t>Wymaganie (REQ-…)</t>
        </is>
      </c>
      <c r="D1" s="6" t="inlineStr">
        <is>
          <t>Technika</t>
        </is>
      </c>
      <c r="E1" s="6" t="inlineStr">
        <is>
          <t>Priorytet</t>
        </is>
      </c>
      <c r="F1" s="6" t="inlineStr">
        <is>
          <t>Warunki wstępne</t>
        </is>
      </c>
      <c r="G1" s="6" t="inlineStr">
        <is>
          <t>Dane testowe</t>
        </is>
      </c>
      <c r="H1" s="6" t="inlineStr">
        <is>
          <t>Kroki</t>
        </is>
      </c>
      <c r="I1" s="6" t="inlineStr">
        <is>
          <t>Oczekiwany rezultat</t>
        </is>
      </c>
      <c r="J1" s="6" t="inlineStr">
        <is>
          <t>Rzeczywisty rezultat</t>
        </is>
      </c>
      <c r="K1" s="6" t="inlineStr">
        <is>
          <t>Status</t>
        </is>
      </c>
      <c r="L1" s="6" t="inlineStr">
        <is>
          <t>ID defektu</t>
        </is>
      </c>
      <c r="M1" s="6" t="inlineStr">
        <is>
          <t>Wykonał</t>
        </is>
      </c>
      <c r="N1" s="6" t="inlineStr">
        <is>
          <t>Data wykonania</t>
        </is>
      </c>
      <c r="O1" s="6" t="inlineStr">
        <is>
          <t>Uwagi</t>
        </is>
      </c>
    </row>
    <row r="2">
      <c r="A2" s="7" t="inlineStr">
        <is>
          <t>TC-REJ-001</t>
        </is>
      </c>
      <c r="B2" s="7" t="inlineStr">
        <is>
          <t>Rejestracja z poprawnymi danymi (bez telefonu)</t>
        </is>
      </c>
      <c r="C2" s="7" t="inlineStr">
        <is>
          <t>REQ-REJ-05, REQ-REJ-11</t>
        </is>
      </c>
      <c r="D2" s="7" t="inlineStr">
        <is>
          <t>EP</t>
        </is>
      </c>
      <c r="E2" s="7" t="inlineStr">
        <is>
          <t>Wysoki</t>
        </is>
      </c>
      <c r="F2" s="7" t="inlineStr">
        <is>
          <t>Dane początkowe (install.php?reset=1). Konto „ola_fan” nie istnieje.</t>
        </is>
      </c>
      <c r="G2" s="7" t="inlineStr">
        <is>
          <t>login: ola_fan
e-mail: ola@example.com
telefon: (puste)
wiek: 25
hasło: Koncert2026
powtórz hasło: Koncert2026
regulamin: zaznaczony</t>
        </is>
      </c>
      <c r="H2" s="7" t="inlineStr">
        <is>
          <t>1. Otwórz stronę Rejestracja.
2. Wypełnij formularz danymi testowymi.
3. Kliknij „Załóż konto”.</t>
        </is>
      </c>
      <c r="I2" s="7" t="inlineStr">
        <is>
          <t>Komunikat „Konto zostało utworzone. Możesz się zalogować.”; brak komunikatów o błędach; formularz wyczyszczony.</t>
        </is>
      </c>
      <c r="J2" s="7" t="inlineStr">
        <is>
          <t>Komunikat „Konto zostało utworzone. Możesz się zalogować.”; formularz wyczyszczony; konto w panelu Administracja (ACTIVE, 0 nieudanych prób).</t>
        </is>
      </c>
      <c r="K2" s="7" t="inlineStr">
        <is>
          <t>Zaliczony</t>
        </is>
      </c>
      <c r="L2" s="7" t="n"/>
      <c r="M2" s="7" t="inlineStr">
        <is>
          <t>A. Nowak</t>
        </is>
      </c>
      <c r="N2" s="7" t="inlineStr">
        <is>
          <t>2026-10-13</t>
        </is>
      </c>
      <c r="O2" s="7" t="inlineStr">
        <is>
          <t>Wykonano na BiletTO 1.0.0-rc1</t>
        </is>
      </c>
    </row>
    <row r="3">
      <c r="A3" s="7" t="inlineStr">
        <is>
          <t>TC-REJ-002</t>
        </is>
      </c>
      <c r="B3" s="7" t="inlineStr">
        <is>
          <t>Rejestracja z poprawnym telefonem (9 cyfr)</t>
        </is>
      </c>
      <c r="C3" s="7" t="inlineStr">
        <is>
          <t>REQ-REJ-05, REQ-REJ-11</t>
        </is>
      </c>
      <c r="D3" s="7" t="inlineStr">
        <is>
          <t>EP</t>
        </is>
      </c>
      <c r="E3" s="7" t="inlineStr">
        <is>
          <t>Wysoki</t>
        </is>
      </c>
      <c r="F3" s="7" t="inlineStr">
        <is>
          <t>Dane początkowe (install.php?reset=1). Konto „ola_fan” nie istnieje.</t>
        </is>
      </c>
      <c r="G3" s="7" t="inlineStr">
        <is>
          <t>login: ola_fan
e-mail: ola@example.com
telefon: 600700800
wiek: 25
hasło: Koncert2026
powtórz hasło: Koncert2026
regulamin: zaznaczony</t>
        </is>
      </c>
      <c r="H3" s="7" t="inlineStr">
        <is>
          <t>1. Otwórz stronę Rejestracja.
2. Wypełnij formularz danymi testowymi.
3. Kliknij „Załóż konto”.</t>
        </is>
      </c>
      <c r="I3" s="7" t="inlineStr">
        <is>
          <t>Komunikat „Konto zostało utworzone. Możesz się zalogować.”; brak komunikatów o błędach; formularz wyczyszczony.</t>
        </is>
      </c>
      <c r="J3" s="7" t="inlineStr">
        <is>
          <t>Komunikat „Konto zostało utworzone. Możesz się zalogować.”; formularz wyczyszczony; konto w panelu Administracja (ACTIVE, 0 nieudanych prób).</t>
        </is>
      </c>
      <c r="K3" s="7" t="inlineStr">
        <is>
          <t>Zaliczony</t>
        </is>
      </c>
      <c r="L3" s="7" t="n"/>
      <c r="M3" s="7" t="inlineStr">
        <is>
          <t>A. Nowak</t>
        </is>
      </c>
      <c r="N3" s="7" t="inlineStr">
        <is>
          <t>2026-10-13</t>
        </is>
      </c>
      <c r="O3" s="7" t="inlineStr">
        <is>
          <t>Wykonano na BiletTO 1.0.0-rc1</t>
        </is>
      </c>
    </row>
    <row r="4">
      <c r="A4" s="7" t="inlineStr">
        <is>
          <t>TC-REJ-003</t>
        </is>
      </c>
      <c r="B4" s="7" t="inlineStr">
        <is>
          <t>Login krótszy niż 4 znaki (3 znaki)</t>
        </is>
      </c>
      <c r="C4" s="7" t="inlineStr">
        <is>
          <t>REQ-REJ-02</t>
        </is>
      </c>
      <c r="D4" s="7" t="inlineStr">
        <is>
          <t>AWB</t>
        </is>
      </c>
      <c r="E4" s="7" t="inlineStr">
        <is>
          <t>Wysoki</t>
        </is>
      </c>
      <c r="F4" s="7" t="inlineStr">
        <is>
          <t>Dane początkowe (install.php?reset=1). Konto „ola” nie istnieje.</t>
        </is>
      </c>
      <c r="G4" s="7" t="inlineStr">
        <is>
          <t>login: ola
e-mail: ola@example.com
telefon: (puste)
wiek: 25
hasło: Koncert2026
powtórz hasło: Koncert2026
regulamin: zaznaczony</t>
        </is>
      </c>
      <c r="H4" s="7" t="inlineStr">
        <is>
          <t>1. Otwórz stronę Rejestracja.
2. Wypełnij formularz danymi testowymi.
3. Kliknij „Załóż konto”.</t>
        </is>
      </c>
      <c r="I4" s="7" t="inlineStr">
        <is>
          <t>Komunikat „Login musi mieć od 4 do 16 znaków, zaczynać się od litery i zawierać tylko małe litery, cyfry lub _.”; konto NIE jest tworzone; brak komunikatu o sukcesie.</t>
        </is>
      </c>
      <c r="J4" s="7" t="inlineStr">
        <is>
          <t>Komunikat „Login musi mieć od 4 do 16 znaków, zaczynać się od litery i zawierać tylko małe litery, cyfry lub _.”; konto nie powstało (sprawdzono w panelu Administracja).</t>
        </is>
      </c>
      <c r="K4" s="7" t="inlineStr">
        <is>
          <t>Zaliczony</t>
        </is>
      </c>
      <c r="L4" s="7" t="n"/>
      <c r="M4" s="7" t="inlineStr">
        <is>
          <t>A. Nowak</t>
        </is>
      </c>
      <c r="N4" s="7" t="inlineStr">
        <is>
          <t>2026-10-13</t>
        </is>
      </c>
      <c r="O4" s="7" t="inlineStr">
        <is>
          <t>Wykonano na BiletTO 1.0.0-rc1</t>
        </is>
      </c>
    </row>
    <row r="5">
      <c r="A5" s="7" t="inlineStr">
        <is>
          <t>TC-REJ-004</t>
        </is>
      </c>
      <c r="B5" s="7" t="inlineStr">
        <is>
          <t>Login o minimalnej długości (4 znaki)</t>
        </is>
      </c>
      <c r="C5" s="7" t="inlineStr">
        <is>
          <t>REQ-REJ-02, REQ-REJ-11</t>
        </is>
      </c>
      <c r="D5" s="7" t="inlineStr">
        <is>
          <t>AWB</t>
        </is>
      </c>
      <c r="E5" s="7" t="inlineStr">
        <is>
          <t>Wysoki</t>
        </is>
      </c>
      <c r="F5" s="7" t="inlineStr">
        <is>
          <t>Dane początkowe (install.php?reset=1). Konto „olaf” nie istnieje.</t>
        </is>
      </c>
      <c r="G5" s="7" t="inlineStr">
        <is>
          <t>login: olaf
e-mail: ola@example.com
telefon: (puste)
wiek: 25
hasło: Koncert2026
powtórz hasło: Koncert2026
regulamin: zaznaczony</t>
        </is>
      </c>
      <c r="H5" s="7" t="inlineStr">
        <is>
          <t>1. Otwórz stronę Rejestracja.
2. Wypełnij formularz danymi testowymi.
3. Kliknij „Załóż konto”.</t>
        </is>
      </c>
      <c r="I5" s="7" t="inlineStr">
        <is>
          <t>Komunikat „Konto zostało utworzone. Możesz się zalogować.”; brak komunikatów o błędach; formularz wyczyszczony.</t>
        </is>
      </c>
      <c r="J5" s="7" t="inlineStr">
        <is>
          <t>Komunikat „Konto zostało utworzone. Możesz się zalogować.”; formularz wyczyszczony; konto w panelu Administracja (ACTIVE, 0 nieudanych prób).</t>
        </is>
      </c>
      <c r="K5" s="7" t="inlineStr">
        <is>
          <t>Zaliczony</t>
        </is>
      </c>
      <c r="L5" s="7" t="n"/>
      <c r="M5" s="7" t="inlineStr">
        <is>
          <t>A. Nowak</t>
        </is>
      </c>
      <c r="N5" s="7" t="inlineStr">
        <is>
          <t>2026-10-13</t>
        </is>
      </c>
      <c r="O5" s="7" t="inlineStr">
        <is>
          <t>Wykonano na BiletTO 1.0.0-rc1</t>
        </is>
      </c>
    </row>
    <row r="6">
      <c r="A6" s="7" t="inlineStr">
        <is>
          <t>TC-REJ-005</t>
        </is>
      </c>
      <c r="B6" s="7" t="inlineStr">
        <is>
          <t>Login o maksymalnej długości (16 znaków)</t>
        </is>
      </c>
      <c r="C6" s="7" t="inlineStr">
        <is>
          <t>REQ-REJ-02, REQ-REJ-11</t>
        </is>
      </c>
      <c r="D6" s="7" t="inlineStr">
        <is>
          <t>AWB</t>
        </is>
      </c>
      <c r="E6" s="7" t="inlineStr">
        <is>
          <t>Średni</t>
        </is>
      </c>
      <c r="F6" s="7" t="inlineStr">
        <is>
          <t>Dane początkowe (install.php?reset=1). Konto „ola_fan_12345678” nie istnieje.</t>
        </is>
      </c>
      <c r="G6" s="7" t="inlineStr">
        <is>
          <t>login: ola_fan_12345678
e-mail: ola@example.com
telefon: (puste)
wiek: 25
hasło: Koncert2026
powtórz hasło: Koncert2026
regulamin: zaznaczony</t>
        </is>
      </c>
      <c r="H6" s="7" t="inlineStr">
        <is>
          <t>1. Otwórz stronę Rejestracja.
2. Wypełnij formularz danymi testowymi.
3. Kliknij „Załóż konto”.</t>
        </is>
      </c>
      <c r="I6" s="7" t="inlineStr">
        <is>
          <t>Komunikat „Konto zostało utworzone. Możesz się zalogować.”; brak komunikatów o błędach; formularz wyczyszczony.</t>
        </is>
      </c>
      <c r="J6" s="7" t="inlineStr">
        <is>
          <t>Komunikat „Konto zostało utworzone. Możesz się zalogować.”; formularz wyczyszczony; konto w panelu Administracja (ACTIVE, 0 nieudanych prób).</t>
        </is>
      </c>
      <c r="K6" s="7" t="inlineStr">
        <is>
          <t>Zaliczony</t>
        </is>
      </c>
      <c r="L6" s="7" t="n"/>
      <c r="M6" s="7" t="inlineStr">
        <is>
          <t>A. Nowak</t>
        </is>
      </c>
      <c r="N6" s="7" t="inlineStr">
        <is>
          <t>2026-10-13</t>
        </is>
      </c>
      <c r="O6" s="7" t="inlineStr">
        <is>
          <t>Wykonano na BiletTO 1.0.0-rc1</t>
        </is>
      </c>
    </row>
    <row r="7">
      <c r="A7" s="7" t="inlineStr">
        <is>
          <t>TC-REJ-006</t>
        </is>
      </c>
      <c r="B7" s="7" t="inlineStr">
        <is>
          <t>Login dłuższy niż 16 znaków (17 znaków)</t>
        </is>
      </c>
      <c r="C7" s="7" t="inlineStr">
        <is>
          <t>REQ-REJ-02</t>
        </is>
      </c>
      <c r="D7" s="7" t="inlineStr">
        <is>
          <t>AWB</t>
        </is>
      </c>
      <c r="E7" s="7" t="inlineStr">
        <is>
          <t>Średni</t>
        </is>
      </c>
      <c r="F7" s="7" t="inlineStr">
        <is>
          <t>Dane początkowe (install.php?reset=1). Konto „ola_fan_123456789” nie istnieje.</t>
        </is>
      </c>
      <c r="G7" s="7" t="inlineStr">
        <is>
          <t>login: ola_fan_123456789
e-mail: ola@example.com
telefon: (puste)
wiek: 25
hasło: Koncert2026
powtórz hasło: Koncert2026
regulamin: zaznaczony</t>
        </is>
      </c>
      <c r="H7" s="7" t="inlineStr">
        <is>
          <t>1. Otwórz stronę Rejestracja.
2. Wypełnij formularz danymi testowymi.
3. Kliknij „Załóż konto”.</t>
        </is>
      </c>
      <c r="I7" s="7" t="inlineStr">
        <is>
          <t>Komunikat „Login musi mieć od 4 do 16 znaków, zaczynać się od litery i zawierać tylko małe litery, cyfry lub _.”; konto NIE jest tworzone; brak komunikatu o sukcesie.</t>
        </is>
      </c>
      <c r="J7" s="7" t="inlineStr">
        <is>
          <t>Komunikat „Login musi mieć od 4 do 16 znaków, zaczynać się od litery i zawierać tylko małe litery, cyfry lub _.”; konto nie powstało (sprawdzono w panelu Administracja).</t>
        </is>
      </c>
      <c r="K7" s="7" t="inlineStr">
        <is>
          <t>Zaliczony</t>
        </is>
      </c>
      <c r="L7" s="7" t="n"/>
      <c r="M7" s="7" t="inlineStr">
        <is>
          <t>A. Nowak</t>
        </is>
      </c>
      <c r="N7" s="7" t="inlineStr">
        <is>
          <t>2026-10-13</t>
        </is>
      </c>
      <c r="O7" s="7" t="inlineStr">
        <is>
          <t>Wykonano na BiletTO 1.0.0-rc1</t>
        </is>
      </c>
    </row>
    <row r="8">
      <c r="A8" s="7" t="inlineStr">
        <is>
          <t>TC-REJ-007</t>
        </is>
      </c>
      <c r="B8" s="7" t="inlineStr">
        <is>
          <t>Login zaczynający się od cyfry</t>
        </is>
      </c>
      <c r="C8" s="7" t="inlineStr">
        <is>
          <t>REQ-REJ-02</t>
        </is>
      </c>
      <c r="D8" s="7" t="inlineStr">
        <is>
          <t>EP</t>
        </is>
      </c>
      <c r="E8" s="7" t="inlineStr">
        <is>
          <t>Wysoki</t>
        </is>
      </c>
      <c r="F8" s="7" t="inlineStr">
        <is>
          <t>Dane początkowe (install.php?reset=1). Konto „1ola_fan” nie istnieje.</t>
        </is>
      </c>
      <c r="G8" s="7" t="inlineStr">
        <is>
          <t>login: 1ola_fan
e-mail: ola@example.com
telefon: (puste)
wiek: 25
hasło: Koncert2026
powtórz hasło: Koncert2026
regulamin: zaznaczony</t>
        </is>
      </c>
      <c r="H8" s="7" t="inlineStr">
        <is>
          <t>1. Otwórz stronę Rejestracja.
2. Wypełnij formularz danymi testowymi.
3. Kliknij „Załóż konto”.</t>
        </is>
      </c>
      <c r="I8" s="7" t="inlineStr">
        <is>
          <t>Komunikat „Login musi mieć od 4 do 16 znaków, zaczynać się od litery i zawierać tylko małe litery, cyfry lub _.”; konto NIE jest tworzone; brak komunikatu o sukcesie.</t>
        </is>
      </c>
      <c r="J8" s="7" t="inlineStr">
        <is>
          <t>Komunikat „Login musi mieć od 4 do 16 znaków, zaczynać się od litery i zawierać tylko małe litery, cyfry lub _.”; konto nie powstało (sprawdzono w panelu Administracja).</t>
        </is>
      </c>
      <c r="K8" s="7" t="inlineStr">
        <is>
          <t>Zaliczony</t>
        </is>
      </c>
      <c r="L8" s="7" t="n"/>
      <c r="M8" s="7" t="inlineStr">
        <is>
          <t>A. Nowak</t>
        </is>
      </c>
      <c r="N8" s="7" t="inlineStr">
        <is>
          <t>2026-10-13</t>
        </is>
      </c>
      <c r="O8" s="7" t="inlineStr">
        <is>
          <t>Wykonano na BiletTO 1.0.0-rc1</t>
        </is>
      </c>
    </row>
    <row r="9">
      <c r="A9" s="7" t="inlineStr">
        <is>
          <t>TC-REJ-008</t>
        </is>
      </c>
      <c r="B9" s="7" t="inlineStr">
        <is>
          <t>Login z wielką literą</t>
        </is>
      </c>
      <c r="C9" s="7" t="inlineStr">
        <is>
          <t>REQ-REJ-02</t>
        </is>
      </c>
      <c r="D9" s="7" t="inlineStr">
        <is>
          <t>EP</t>
        </is>
      </c>
      <c r="E9" s="7" t="inlineStr">
        <is>
          <t>Wysoki</t>
        </is>
      </c>
      <c r="F9" s="7" t="inlineStr">
        <is>
          <t>Dane początkowe (install.php?reset=1). Konto „Ola_fan” nie istnieje.</t>
        </is>
      </c>
      <c r="G9" s="7" t="inlineStr">
        <is>
          <t>login: Ola_fan
e-mail: ola@example.com
telefon: (puste)
wiek: 25
hasło: Koncert2026
powtórz hasło: Koncert2026
regulamin: zaznaczony</t>
        </is>
      </c>
      <c r="H9" s="7" t="inlineStr">
        <is>
          <t>1. Otwórz stronę Rejestracja.
2. Wypełnij formularz danymi testowymi.
3. Kliknij „Załóż konto”.</t>
        </is>
      </c>
      <c r="I9" s="7" t="inlineStr">
        <is>
          <t>Komunikat „Login musi mieć od 4 do 16 znaków, zaczynać się od litery i zawierać tylko małe litery, cyfry lub _.”; konto NIE jest tworzone; brak komunikatu o sukcesie.</t>
        </is>
      </c>
      <c r="J9" s="7" t="inlineStr">
        <is>
          <t>Brak komunikatu o błędzie; komunikat „Konto zostało utworzone. Możesz się zalogować.”; w panelu Administracja konto „Ola_fan” (ACTIVE).</t>
        </is>
      </c>
      <c r="K9" s="7" t="inlineStr">
        <is>
          <t>Niezaliczony</t>
        </is>
      </c>
      <c r="L9" s="7" t="inlineStr">
        <is>
          <t>DEF-008</t>
        </is>
      </c>
      <c r="M9" s="7" t="inlineStr">
        <is>
          <t>A. Nowak</t>
        </is>
      </c>
      <c r="N9" s="7" t="inlineStr">
        <is>
          <t>2026-10-13</t>
        </is>
      </c>
      <c r="O9" s="7" t="inlineStr">
        <is>
          <t>Wykonano na BiletTO 1.0.0-rc1</t>
        </is>
      </c>
    </row>
    <row r="10">
      <c r="A10" s="7" t="inlineStr">
        <is>
          <t>TC-REJ-009</t>
        </is>
      </c>
      <c r="B10" s="7" t="inlineStr">
        <is>
          <t>Login z niedozwolonym znakiem (kropka)</t>
        </is>
      </c>
      <c r="C10" s="7" t="inlineStr">
        <is>
          <t>REQ-REJ-02</t>
        </is>
      </c>
      <c r="D10" s="7" t="inlineStr">
        <is>
          <t>EP</t>
        </is>
      </c>
      <c r="E10" s="7" t="inlineStr">
        <is>
          <t>Średni</t>
        </is>
      </c>
      <c r="F10" s="7" t="inlineStr">
        <is>
          <t>Dane początkowe (install.php?reset=1). Konto „ola.fan” nie istnieje.</t>
        </is>
      </c>
      <c r="G10" s="7" t="inlineStr">
        <is>
          <t>login: ola.fan
e-mail: ola@example.com
telefon: (puste)
wiek: 25
hasło: Koncert2026
powtórz hasło: Koncert2026
regulamin: zaznaczony</t>
        </is>
      </c>
      <c r="H10" s="7" t="inlineStr">
        <is>
          <t>1. Otwórz stronę Rejestracja.
2. Wypełnij formularz danymi testowymi.
3. Kliknij „Załóż konto”.</t>
        </is>
      </c>
      <c r="I10" s="7" t="inlineStr">
        <is>
          <t>Komunikat „Login musi mieć od 4 do 16 znaków, zaczynać się od litery i zawierać tylko małe litery, cyfry lub _.”; konto NIE jest tworzone; brak komunikatu o sukcesie.</t>
        </is>
      </c>
      <c r="J10" s="7" t="inlineStr">
        <is>
          <t>Komunikat „Login musi mieć od 4 do 16 znaków, zaczynać się od litery i zawierać tylko małe litery, cyfry lub _.”; konto nie powstało (sprawdzono w panelu Administracja).</t>
        </is>
      </c>
      <c r="K10" s="7" t="inlineStr">
        <is>
          <t>Zaliczony</t>
        </is>
      </c>
      <c r="L10" s="7" t="n"/>
      <c r="M10" s="7" t="inlineStr">
        <is>
          <t>A. Nowak</t>
        </is>
      </c>
      <c r="N10" s="7" t="inlineStr">
        <is>
          <t>2026-10-13</t>
        </is>
      </c>
      <c r="O10" s="7" t="inlineStr">
        <is>
          <t>Wykonano na BiletTO 1.0.0-rc1</t>
        </is>
      </c>
    </row>
    <row r="11">
      <c r="A11" s="7" t="inlineStr">
        <is>
          <t>TC-REJ-010</t>
        </is>
      </c>
      <c r="B11" s="7" t="inlineStr">
        <is>
          <t>Login już istniejący (marek)</t>
        </is>
      </c>
      <c r="C11" s="7" t="inlineStr">
        <is>
          <t>REQ-REJ-03</t>
        </is>
      </c>
      <c r="D11" s="7" t="inlineStr">
        <is>
          <t>EP</t>
        </is>
      </c>
      <c r="E11" s="7" t="inlineStr">
        <is>
          <t>Wysoki</t>
        </is>
      </c>
      <c r="F11" s="7" t="inlineStr">
        <is>
          <t>Dane początkowe (install.php?reset=1).</t>
        </is>
      </c>
      <c r="G11" s="7" t="inlineStr">
        <is>
          <t>login: marek
e-mail: ola@example.com
telefon: (puste)
wiek: 25
hasło: Koncert2026
powtórz hasło: Koncert2026
regulamin: zaznaczony</t>
        </is>
      </c>
      <c r="H11" s="7" t="inlineStr">
        <is>
          <t>1. Otwórz stronę Rejestracja.
2. Wypełnij formularz danymi testowymi.
3. Kliknij „Załóż konto”.</t>
        </is>
      </c>
      <c r="I11" s="7" t="inlineStr">
        <is>
          <t>Komunikat „Login jest już zajęty.”; konto NIE jest tworzone; brak komunikatu o sukcesie.</t>
        </is>
      </c>
      <c r="J11" s="7" t="inlineStr">
        <is>
          <t>Komunikat „Login jest już zajęty.”; konto nie powstało (sprawdzono w panelu Administracja).</t>
        </is>
      </c>
      <c r="K11" s="7" t="inlineStr">
        <is>
          <t>Zaliczony</t>
        </is>
      </c>
      <c r="L11" s="7" t="n"/>
      <c r="M11" s="7" t="inlineStr">
        <is>
          <t>A. Nowak</t>
        </is>
      </c>
      <c r="N11" s="7" t="inlineStr">
        <is>
          <t>2026-10-13</t>
        </is>
      </c>
      <c r="O11" s="7" t="inlineStr">
        <is>
          <t>Wykonano na BiletTO 1.0.0-rc1</t>
        </is>
      </c>
    </row>
    <row r="12">
      <c r="A12" s="7" t="inlineStr">
        <is>
          <t>TC-REJ-011</t>
        </is>
      </c>
      <c r="B12" s="7" t="inlineStr">
        <is>
          <t>E-mail bez znaku @</t>
        </is>
      </c>
      <c r="C12" s="7" t="inlineStr">
        <is>
          <t>REQ-REJ-04</t>
        </is>
      </c>
      <c r="D12" s="7" t="inlineStr">
        <is>
          <t>EP</t>
        </is>
      </c>
      <c r="E12" s="7" t="inlineStr">
        <is>
          <t>Wysoki</t>
        </is>
      </c>
      <c r="F12" s="7" t="inlineStr">
        <is>
          <t>Dane początkowe (install.php?reset=1). Konto „ola_fan” nie istnieje.</t>
        </is>
      </c>
      <c r="G12" s="7" t="inlineStr">
        <is>
          <t>login: ola_fan
e-mail: ola.example.com
telefon: (puste)
wiek: 25
hasło: Koncert2026
powtórz hasło: Koncert2026
regulamin: zaznaczony</t>
        </is>
      </c>
      <c r="H12" s="7" t="inlineStr">
        <is>
          <t>1. Otwórz stronę Rejestracja.
2. Wypełnij formularz danymi testowymi.
3. Kliknij „Załóż konto”.</t>
        </is>
      </c>
      <c r="I12" s="7" t="inlineStr">
        <is>
          <t>Komunikat „Niepoprawny adres e-mail.”; konto NIE jest tworzone; brak komunikatu o sukcesie.</t>
        </is>
      </c>
      <c r="J12" s="7" t="inlineStr">
        <is>
          <t>Komunikat „Niepoprawny adres e-mail.”; konto nie powstało (sprawdzono w panelu Administracja).</t>
        </is>
      </c>
      <c r="K12" s="7" t="inlineStr">
        <is>
          <t>Zaliczony</t>
        </is>
      </c>
      <c r="L12" s="7" t="n"/>
      <c r="M12" s="7" t="inlineStr">
        <is>
          <t>A. Nowak</t>
        </is>
      </c>
      <c r="N12" s="7" t="inlineStr">
        <is>
          <t>2026-10-13</t>
        </is>
      </c>
      <c r="O12" s="7" t="inlineStr">
        <is>
          <t>Wykonano na BiletTO 1.0.0-rc1</t>
        </is>
      </c>
    </row>
    <row r="13">
      <c r="A13" s="7" t="inlineStr">
        <is>
          <t>TC-REJ-012</t>
        </is>
      </c>
      <c r="B13" s="7" t="inlineStr">
        <is>
          <t>Telefon krótszy niż 9 cyfr (8 cyfr)</t>
        </is>
      </c>
      <c r="C13" s="7" t="inlineStr">
        <is>
          <t>REQ-REJ-05</t>
        </is>
      </c>
      <c r="D13" s="7" t="inlineStr">
        <is>
          <t>AWB</t>
        </is>
      </c>
      <c r="E13" s="7" t="inlineStr">
        <is>
          <t>Średni</t>
        </is>
      </c>
      <c r="F13" s="7" t="inlineStr">
        <is>
          <t>Dane początkowe (install.php?reset=1). Konto „ola_fan” nie istnieje.</t>
        </is>
      </c>
      <c r="G13" s="7" t="inlineStr">
        <is>
          <t>login: ola_fan
e-mail: ola@example.com
telefon: 60070080
wiek: 25
hasło: Koncert2026
powtórz hasło: Koncert2026
regulamin: zaznaczony</t>
        </is>
      </c>
      <c r="H13" s="7" t="inlineStr">
        <is>
          <t>1. Otwórz stronę Rejestracja.
2. Wypełnij formularz danymi testowymi.
3. Kliknij „Załóż konto”.</t>
        </is>
      </c>
      <c r="I13" s="7" t="inlineStr">
        <is>
          <t>Komunikat „Numer telefonu musi składać się z 9 cyfr.”; konto NIE jest tworzone; brak komunikatu o sukcesie.</t>
        </is>
      </c>
      <c r="J13" s="7" t="inlineStr">
        <is>
          <t>Komunikat „Numer telefonu musi składać się z 9 cyfr.”; konto nie powstało (sprawdzono w panelu Administracja).</t>
        </is>
      </c>
      <c r="K13" s="7" t="inlineStr">
        <is>
          <t>Zaliczony</t>
        </is>
      </c>
      <c r="L13" s="7" t="n"/>
      <c r="M13" s="7" t="inlineStr">
        <is>
          <t>A. Nowak</t>
        </is>
      </c>
      <c r="N13" s="7" t="inlineStr">
        <is>
          <t>2026-10-13</t>
        </is>
      </c>
      <c r="O13" s="7" t="inlineStr">
        <is>
          <t>Wykonano na BiletTO 1.0.0-rc1</t>
        </is>
      </c>
    </row>
    <row r="14">
      <c r="A14" s="7" t="inlineStr">
        <is>
          <t>TC-REJ-013</t>
        </is>
      </c>
      <c r="B14" s="7" t="inlineStr">
        <is>
          <t>Telefon dłuższy niż 9 cyfr (10 cyfr)</t>
        </is>
      </c>
      <c r="C14" s="7" t="inlineStr">
        <is>
          <t>REQ-REJ-05</t>
        </is>
      </c>
      <c r="D14" s="7" t="inlineStr">
        <is>
          <t>AWB</t>
        </is>
      </c>
      <c r="E14" s="7" t="inlineStr">
        <is>
          <t>Średni</t>
        </is>
      </c>
      <c r="F14" s="7" t="inlineStr">
        <is>
          <t>Dane początkowe (install.php?reset=1). Konto „ola_fan” nie istnieje.</t>
        </is>
      </c>
      <c r="G14" s="7" t="inlineStr">
        <is>
          <t>login: ola_fan
e-mail: ola@example.com
telefon: 6007008001
wiek: 25
hasło: Koncert2026
powtórz hasło: Koncert2026
regulamin: zaznaczony</t>
        </is>
      </c>
      <c r="H14" s="7" t="inlineStr">
        <is>
          <t>1. Otwórz stronę Rejestracja.
2. Wypełnij formularz danymi testowymi.
3. Kliknij „Załóż konto”.</t>
        </is>
      </c>
      <c r="I14" s="7" t="inlineStr">
        <is>
          <t>Komunikat „Numer telefonu musi składać się z 9 cyfr.”; konto NIE jest tworzone; brak komunikatu o sukcesie.</t>
        </is>
      </c>
      <c r="J14" s="7" t="inlineStr">
        <is>
          <t>Komunikat „Numer telefonu musi składać się z 9 cyfr.”; konto nie powstało (sprawdzono w panelu Administracja).</t>
        </is>
      </c>
      <c r="K14" s="7" t="inlineStr">
        <is>
          <t>Zaliczony</t>
        </is>
      </c>
      <c r="L14" s="7" t="n"/>
      <c r="M14" s="7" t="inlineStr">
        <is>
          <t>A. Nowak</t>
        </is>
      </c>
      <c r="N14" s="7" t="inlineStr">
        <is>
          <t>2026-10-13</t>
        </is>
      </c>
      <c r="O14" s="7" t="inlineStr">
        <is>
          <t>Wykonano na BiletTO 1.0.0-rc1</t>
        </is>
      </c>
    </row>
    <row r="15">
      <c r="A15" s="7" t="inlineStr">
        <is>
          <t>TC-REJ-014</t>
        </is>
      </c>
      <c r="B15" s="7" t="inlineStr">
        <is>
          <t>Telefon ze spacjami</t>
        </is>
      </c>
      <c r="C15" s="7" t="inlineStr">
        <is>
          <t>REQ-REJ-05</t>
        </is>
      </c>
      <c r="D15" s="7" t="inlineStr">
        <is>
          <t>EP</t>
        </is>
      </c>
      <c r="E15" s="7" t="inlineStr">
        <is>
          <t>Niski</t>
        </is>
      </c>
      <c r="F15" s="7" t="inlineStr">
        <is>
          <t>Dane początkowe (install.php?reset=1). Konto „ola_fan” nie istnieje.</t>
        </is>
      </c>
      <c r="G15" s="7" t="inlineStr">
        <is>
          <t>login: ola_fan
e-mail: ola@example.com
telefon: 600 700 800
wiek: 25
hasło: Koncert2026
powtórz hasło: Koncert2026
regulamin: zaznaczony</t>
        </is>
      </c>
      <c r="H15" s="7" t="inlineStr">
        <is>
          <t>1. Otwórz stronę Rejestracja.
2. Wypełnij formularz danymi testowymi.
3. Kliknij „Załóż konto”.</t>
        </is>
      </c>
      <c r="I15" s="7" t="inlineStr">
        <is>
          <t>Komunikat „Numer telefonu musi składać się z 9 cyfr.”; konto NIE jest tworzone; brak komunikatu o sukcesie.</t>
        </is>
      </c>
      <c r="J15" s="7" t="inlineStr">
        <is>
          <t>Brak komunikatu o błędzie; konto utworzone, w panelu Administracja telefon zapisany jako „600700800” (spacje usunięte).</t>
        </is>
      </c>
      <c r="K15" s="7" t="inlineStr">
        <is>
          <t>Niezaliczony</t>
        </is>
      </c>
      <c r="L15" s="7" t="inlineStr">
        <is>
          <t>DEF-012</t>
        </is>
      </c>
      <c r="M15" s="7" t="inlineStr">
        <is>
          <t>A. Nowak</t>
        </is>
      </c>
      <c r="N15" s="7" t="inlineStr">
        <is>
          <t>2026-10-13</t>
        </is>
      </c>
      <c r="O15" s="7" t="inlineStr">
        <is>
          <t>DEF-012 odrzucony przez właściciela produktu – REQ-REJ-05 zostanie zmienione w v1.1 (spacje dozwolone). Po zmianie wymagania zaktualizować ten przypadek.</t>
        </is>
      </c>
    </row>
    <row r="16">
      <c r="A16" s="7" t="inlineStr">
        <is>
          <t>TC-REJ-015</t>
        </is>
      </c>
      <c r="B16" s="7" t="inlineStr">
        <is>
          <t>Wiek poniżej dolnej granicy (15)</t>
        </is>
      </c>
      <c r="C16" s="7" t="inlineStr">
        <is>
          <t>REQ-REJ-06</t>
        </is>
      </c>
      <c r="D16" s="7" t="inlineStr">
        <is>
          <t>AWB</t>
        </is>
      </c>
      <c r="E16" s="7" t="inlineStr">
        <is>
          <t>Wysoki</t>
        </is>
      </c>
      <c r="F16" s="7" t="inlineStr">
        <is>
          <t>Dane początkowe (install.php?reset=1). Konto „ola_fan” nie istnieje.</t>
        </is>
      </c>
      <c r="G16" s="7" t="inlineStr">
        <is>
          <t>login: ola_fan
e-mail: ola@example.com
telefon: (puste)
wiek: 15
hasło: Koncert2026
powtórz hasło: Koncert2026
regulamin: zaznaczony</t>
        </is>
      </c>
      <c r="H16" s="7" t="inlineStr">
        <is>
          <t>1. Otwórz stronę Rejestracja.
2. Wypełnij formularz danymi testowymi.
3. Kliknij „Załóż konto”.</t>
        </is>
      </c>
      <c r="I16" s="7" t="inlineStr">
        <is>
          <t>Komunikat „Wiek musi być liczbą całkowitą z zakresu 16–99.”; konto NIE jest tworzone; brak komunikatu o sukcesie.</t>
        </is>
      </c>
      <c r="J16" s="7" t="inlineStr">
        <is>
          <t>Brak komunikatu o błędzie; komunikat „Konto zostało utworzone. Możesz się zalogować.”; w panelu Administracja konto „ola_fan”, wiek 15.</t>
        </is>
      </c>
      <c r="K16" s="7" t="inlineStr">
        <is>
          <t>Niezaliczony</t>
        </is>
      </c>
      <c r="L16" s="7" t="inlineStr">
        <is>
          <t>DEF-007</t>
        </is>
      </c>
      <c r="M16" s="7" t="inlineStr">
        <is>
          <t>A. Nowak</t>
        </is>
      </c>
      <c r="N16" s="7" t="inlineStr">
        <is>
          <t>2026-10-13</t>
        </is>
      </c>
      <c r="O16" s="7" t="inlineStr">
        <is>
          <t>Wiek 14 – komunikat o wieku wyświetlony poprawnie (sprawdzone dodatkowo); granica przesunięta o 1.</t>
        </is>
      </c>
    </row>
    <row r="17">
      <c r="A17" s="7" t="inlineStr">
        <is>
          <t>TC-REJ-016</t>
        </is>
      </c>
      <c r="B17" s="7" t="inlineStr">
        <is>
          <t>Wiek równy dolnej granicy (16)</t>
        </is>
      </c>
      <c r="C17" s="7" t="inlineStr">
        <is>
          <t>REQ-REJ-06, REQ-REJ-11</t>
        </is>
      </c>
      <c r="D17" s="7" t="inlineStr">
        <is>
          <t>AWB</t>
        </is>
      </c>
      <c r="E17" s="7" t="inlineStr">
        <is>
          <t>Wysoki</t>
        </is>
      </c>
      <c r="F17" s="7" t="inlineStr">
        <is>
          <t>Dane początkowe (install.php?reset=1). Konto „ola_fan” nie istnieje.</t>
        </is>
      </c>
      <c r="G17" s="7" t="inlineStr">
        <is>
          <t>login: ola_fan
e-mail: ola@example.com
telefon: (puste)
wiek: 16
hasło: Koncert2026
powtórz hasło: Koncert2026
regulamin: zaznaczony</t>
        </is>
      </c>
      <c r="H17" s="7" t="inlineStr">
        <is>
          <t>1. Otwórz stronę Rejestracja.
2. Wypełnij formularz danymi testowymi.
3. Kliknij „Załóż konto”.</t>
        </is>
      </c>
      <c r="I17" s="7" t="inlineStr">
        <is>
          <t>Komunikat „Konto zostało utworzone. Możesz się zalogować.”; brak komunikatów o błędach; formularz wyczyszczony.</t>
        </is>
      </c>
      <c r="J17" s="7" t="inlineStr">
        <is>
          <t>Komunikat „Konto zostało utworzone. Możesz się zalogować.”; formularz wyczyszczony; konto w panelu Administracja (ACTIVE, 0 nieudanych prób).</t>
        </is>
      </c>
      <c r="K17" s="7" t="inlineStr">
        <is>
          <t>Zaliczony</t>
        </is>
      </c>
      <c r="L17" s="7" t="n"/>
      <c r="M17" s="7" t="inlineStr">
        <is>
          <t>A. Nowak</t>
        </is>
      </c>
      <c r="N17" s="7" t="inlineStr">
        <is>
          <t>2026-10-13</t>
        </is>
      </c>
      <c r="O17" s="7" t="inlineStr">
        <is>
          <t>Wykonano na BiletTO 1.0.0-rc1</t>
        </is>
      </c>
    </row>
    <row r="18">
      <c r="A18" s="7" t="inlineStr">
        <is>
          <t>TC-REJ-017</t>
        </is>
      </c>
      <c r="B18" s="7" t="inlineStr">
        <is>
          <t>Wiek równy górnej granicy (99)</t>
        </is>
      </c>
      <c r="C18" s="7" t="inlineStr">
        <is>
          <t>REQ-REJ-06, REQ-REJ-11</t>
        </is>
      </c>
      <c r="D18" s="7" t="inlineStr">
        <is>
          <t>AWB</t>
        </is>
      </c>
      <c r="E18" s="7" t="inlineStr">
        <is>
          <t>Średni</t>
        </is>
      </c>
      <c r="F18" s="7" t="inlineStr">
        <is>
          <t>Dane początkowe (install.php?reset=1). Konto „ola_fan” nie istnieje.</t>
        </is>
      </c>
      <c r="G18" s="7" t="inlineStr">
        <is>
          <t>login: ola_fan
e-mail: ola@example.com
telefon: (puste)
wiek: 99
hasło: Koncert2026
powtórz hasło: Koncert2026
regulamin: zaznaczony</t>
        </is>
      </c>
      <c r="H18" s="7" t="inlineStr">
        <is>
          <t>1. Otwórz stronę Rejestracja.
2. Wypełnij formularz danymi testowymi.
3. Kliknij „Załóż konto”.</t>
        </is>
      </c>
      <c r="I18" s="7" t="inlineStr">
        <is>
          <t>Komunikat „Konto zostało utworzone. Możesz się zalogować.”; brak komunikatów o błędach; formularz wyczyszczony.</t>
        </is>
      </c>
      <c r="J18" s="7" t="inlineStr">
        <is>
          <t>Komunikat „Konto zostało utworzone. Możesz się zalogować.”; formularz wyczyszczony; konto w panelu Administracja (ACTIVE, 0 nieudanych prób).</t>
        </is>
      </c>
      <c r="K18" s="7" t="inlineStr">
        <is>
          <t>Zaliczony</t>
        </is>
      </c>
      <c r="L18" s="7" t="n"/>
      <c r="M18" s="7" t="inlineStr">
        <is>
          <t>A. Nowak</t>
        </is>
      </c>
      <c r="N18" s="7" t="inlineStr">
        <is>
          <t>2026-10-13</t>
        </is>
      </c>
      <c r="O18" s="7" t="inlineStr">
        <is>
          <t>Wykonano na BiletTO 1.0.0-rc1</t>
        </is>
      </c>
    </row>
    <row r="19">
      <c r="A19" s="7" t="inlineStr">
        <is>
          <t>TC-REJ-018</t>
        </is>
      </c>
      <c r="B19" s="7" t="inlineStr">
        <is>
          <t>Wiek powyżej górnej granicy (100)</t>
        </is>
      </c>
      <c r="C19" s="7" t="inlineStr">
        <is>
          <t>REQ-REJ-06</t>
        </is>
      </c>
      <c r="D19" s="7" t="inlineStr">
        <is>
          <t>AWB</t>
        </is>
      </c>
      <c r="E19" s="7" t="inlineStr">
        <is>
          <t>Wysoki</t>
        </is>
      </c>
      <c r="F19" s="7" t="inlineStr">
        <is>
          <t>Dane początkowe (install.php?reset=1). Konto „ola_fan” nie istnieje.</t>
        </is>
      </c>
      <c r="G19" s="7" t="inlineStr">
        <is>
          <t>login: ola_fan
e-mail: ola@example.com
telefon: (puste)
wiek: 100
hasło: Koncert2026
powtórz hasło: Koncert2026
regulamin: zaznaczony</t>
        </is>
      </c>
      <c r="H19" s="7" t="inlineStr">
        <is>
          <t>1. Otwórz stronę Rejestracja.
2. Wypełnij formularz danymi testowymi.
3. Kliknij „Załóż konto”.</t>
        </is>
      </c>
      <c r="I19" s="7" t="inlineStr">
        <is>
          <t>Komunikat „Wiek musi być liczbą całkowitą z zakresu 16–99.”; konto NIE jest tworzone; brak komunikatu o sukcesie.</t>
        </is>
      </c>
      <c r="J19" s="7" t="inlineStr">
        <is>
          <t>Komunikat „Wiek musi być liczbą całkowitą z zakresu 16–99.”; konto nie powstało (sprawdzono w panelu Administracja).</t>
        </is>
      </c>
      <c r="K19" s="7" t="inlineStr">
        <is>
          <t>Zaliczony</t>
        </is>
      </c>
      <c r="L19" s="7" t="n"/>
      <c r="M19" s="7" t="inlineStr">
        <is>
          <t>A. Nowak</t>
        </is>
      </c>
      <c r="N19" s="7" t="inlineStr">
        <is>
          <t>2026-10-13</t>
        </is>
      </c>
      <c r="O19" s="7" t="inlineStr">
        <is>
          <t>Wykonano na BiletTO 1.0.0-rc1</t>
        </is>
      </c>
    </row>
    <row r="20">
      <c r="A20" s="7" t="inlineStr">
        <is>
          <t>TC-REJ-019</t>
        </is>
      </c>
      <c r="B20" s="7" t="inlineStr">
        <is>
          <t>Wiek niecałkowity (20.5)</t>
        </is>
      </c>
      <c r="C20" s="7" t="inlineStr">
        <is>
          <t>REQ-REJ-06</t>
        </is>
      </c>
      <c r="D20" s="7" t="inlineStr">
        <is>
          <t>EP</t>
        </is>
      </c>
      <c r="E20" s="7" t="inlineStr">
        <is>
          <t>Średni</t>
        </is>
      </c>
      <c r="F20" s="7" t="inlineStr">
        <is>
          <t>Dane początkowe (install.php?reset=1). Konto „ola_fan” nie istnieje.</t>
        </is>
      </c>
      <c r="G20" s="7" t="inlineStr">
        <is>
          <t>login: ola_fan
e-mail: ola@example.com
telefon: (puste)
wiek: 20.5
hasło: Koncert2026
powtórz hasło: Koncert2026
regulamin: zaznaczony</t>
        </is>
      </c>
      <c r="H20" s="7" t="inlineStr">
        <is>
          <t>1. Otwórz stronę Rejestracja.
2. Wypełnij formularz danymi testowymi.
3. Kliknij „Załóż konto”.</t>
        </is>
      </c>
      <c r="I20" s="7" t="inlineStr">
        <is>
          <t>Komunikat „Wiek musi być liczbą całkowitą z zakresu 16–99.”; konto NIE jest tworzone; brak komunikatu o sukcesie.</t>
        </is>
      </c>
      <c r="J20" s="7" t="inlineStr">
        <is>
          <t>Komunikat „Wiek musi być liczbą całkowitą z zakresu 16–99.”; konto nie powstało (sprawdzono w panelu Administracja).</t>
        </is>
      </c>
      <c r="K20" s="7" t="inlineStr">
        <is>
          <t>Zaliczony</t>
        </is>
      </c>
      <c r="L20" s="7" t="n"/>
      <c r="M20" s="7" t="inlineStr">
        <is>
          <t>A. Nowak</t>
        </is>
      </c>
      <c r="N20" s="7" t="inlineStr">
        <is>
          <t>2026-10-13</t>
        </is>
      </c>
      <c r="O20" s="7" t="inlineStr">
        <is>
          <t>Wykonano na BiletTO 1.0.0-rc1</t>
        </is>
      </c>
    </row>
    <row r="21">
      <c r="A21" s="7" t="inlineStr">
        <is>
          <t>TC-REJ-020</t>
        </is>
      </c>
      <c r="B21" s="7" t="inlineStr">
        <is>
          <t>Hasło krótsze niż 8 znaków (7 znaków)</t>
        </is>
      </c>
      <c r="C21" s="7" t="inlineStr">
        <is>
          <t>REQ-REJ-07</t>
        </is>
      </c>
      <c r="D21" s="7" t="inlineStr">
        <is>
          <t>AWB</t>
        </is>
      </c>
      <c r="E21" s="7" t="inlineStr">
        <is>
          <t>Wysoki</t>
        </is>
      </c>
      <c r="F21" s="7" t="inlineStr">
        <is>
          <t>Dane początkowe (install.php?reset=1). Konto „ola_fan” nie istnieje.</t>
        </is>
      </c>
      <c r="G21" s="7" t="inlineStr">
        <is>
          <t>login: ola_fan
e-mail: ola@example.com
telefon: (puste)
wiek: 25
hasło: Konc123
powtórz hasło: Konc123
regulamin: zaznaczony</t>
        </is>
      </c>
      <c r="H21" s="7" t="inlineStr">
        <is>
          <t>1. Otwórz stronę Rejestracja.
2. Wypełnij formularz danymi testowymi.
3. Kliknij „Załóż konto”.</t>
        </is>
      </c>
      <c r="I21" s="7" t="inlineStr">
        <is>
          <t>Komunikat „Hasło musi mieć od 8 do 24 znaków i zawierać literę oraz cyfrę.”; konto NIE jest tworzone; brak komunikatu o sukcesie.</t>
        </is>
      </c>
      <c r="J21" s="7" t="inlineStr">
        <is>
          <t>Komunikat „Hasło musi mieć od 8 do 24 znaków i zawierać literę oraz cyfrę.”; konto nie powstało (sprawdzono w panelu Administracja).</t>
        </is>
      </c>
      <c r="K21" s="7" t="inlineStr">
        <is>
          <t>Zaliczony</t>
        </is>
      </c>
      <c r="L21" s="7" t="n"/>
      <c r="M21" s="7" t="inlineStr">
        <is>
          <t>A. Nowak</t>
        </is>
      </c>
      <c r="N21" s="7" t="inlineStr">
        <is>
          <t>2026-10-13</t>
        </is>
      </c>
      <c r="O21" s="7" t="inlineStr">
        <is>
          <t>Wykonano na BiletTO 1.0.0-rc1</t>
        </is>
      </c>
    </row>
    <row r="22">
      <c r="A22" s="7" t="inlineStr">
        <is>
          <t>TC-REJ-021</t>
        </is>
      </c>
      <c r="B22" s="7" t="inlineStr">
        <is>
          <t>Hasło o minimalnej długości (8 znaków)</t>
        </is>
      </c>
      <c r="C22" s="7" t="inlineStr">
        <is>
          <t>REQ-REJ-07, REQ-REJ-11</t>
        </is>
      </c>
      <c r="D22" s="7" t="inlineStr">
        <is>
          <t>AWB</t>
        </is>
      </c>
      <c r="E22" s="7" t="inlineStr">
        <is>
          <t>Średni</t>
        </is>
      </c>
      <c r="F22" s="7" t="inlineStr">
        <is>
          <t>Dane początkowe (install.php?reset=1). Konto „ola_fan” nie istnieje.</t>
        </is>
      </c>
      <c r="G22" s="7" t="inlineStr">
        <is>
          <t>login: ola_fan
e-mail: ola@example.com
telefon: (puste)
wiek: 25
hasło: Koncert1
powtórz hasło: Koncert1
regulamin: zaznaczony</t>
        </is>
      </c>
      <c r="H22" s="7" t="inlineStr">
        <is>
          <t>1. Otwórz stronę Rejestracja.
2. Wypełnij formularz danymi testowymi.
3. Kliknij „Załóż konto”.</t>
        </is>
      </c>
      <c r="I22" s="7" t="inlineStr">
        <is>
          <t>Komunikat „Konto zostało utworzone. Możesz się zalogować.”; brak komunikatów o błędach; formularz wyczyszczony.</t>
        </is>
      </c>
      <c r="J22" s="7" t="inlineStr">
        <is>
          <t>Komunikat „Konto zostało utworzone. Możesz się zalogować.”; formularz wyczyszczony; konto w panelu Administracja (ACTIVE, 0 nieudanych prób).</t>
        </is>
      </c>
      <c r="K22" s="7" t="inlineStr">
        <is>
          <t>Zaliczony</t>
        </is>
      </c>
      <c r="L22" s="7" t="n"/>
      <c r="M22" s="7" t="inlineStr">
        <is>
          <t>A. Nowak</t>
        </is>
      </c>
      <c r="N22" s="7" t="inlineStr">
        <is>
          <t>2026-10-13</t>
        </is>
      </c>
      <c r="O22" s="7" t="inlineStr">
        <is>
          <t>Wykonano na BiletTO 1.0.0-rc1</t>
        </is>
      </c>
    </row>
    <row r="23">
      <c r="A23" s="7" t="inlineStr">
        <is>
          <t>TC-REJ-022</t>
        </is>
      </c>
      <c r="B23" s="7" t="inlineStr">
        <is>
          <t>Hasło o maksymalnej długości (24 znaki)</t>
        </is>
      </c>
      <c r="C23" s="7" t="inlineStr">
        <is>
          <t>REQ-REJ-07, REQ-REJ-11</t>
        </is>
      </c>
      <c r="D23" s="7" t="inlineStr">
        <is>
          <t>AWB</t>
        </is>
      </c>
      <c r="E23" s="7" t="inlineStr">
        <is>
          <t>Średni</t>
        </is>
      </c>
      <c r="F23" s="7" t="inlineStr">
        <is>
          <t>Dane początkowe (install.php?reset=1). Konto „ola_fan” nie istnieje.</t>
        </is>
      </c>
      <c r="G23" s="7" t="inlineStr">
        <is>
          <t>login: ola_fan
e-mail: ola@example.com
telefon: (puste)
wiek: 25
hasło: Koncert2026Koncert2026Ab
powtórz hasło: Koncert2026Koncert2026Ab
regulamin: zaznaczony</t>
        </is>
      </c>
      <c r="H23" s="7" t="inlineStr">
        <is>
          <t>1. Otwórz stronę Rejestracja.
2. Wypełnij formularz danymi testowymi.
3. Kliknij „Załóż konto”.</t>
        </is>
      </c>
      <c r="I23" s="7" t="inlineStr">
        <is>
          <t>Komunikat „Konto zostało utworzone. Możesz się zalogować.”; brak komunikatów o błędach; formularz wyczyszczony.</t>
        </is>
      </c>
      <c r="J23" s="7" t="inlineStr">
        <is>
          <t>Komunikat „Konto zostało utworzone. Możesz się zalogować.”; formularz wyczyszczony; konto w panelu Administracja (ACTIVE, 0 nieudanych prób).</t>
        </is>
      </c>
      <c r="K23" s="7" t="inlineStr">
        <is>
          <t>Zaliczony</t>
        </is>
      </c>
      <c r="L23" s="7" t="n"/>
      <c r="M23" s="7" t="inlineStr">
        <is>
          <t>A. Nowak</t>
        </is>
      </c>
      <c r="N23" s="7" t="inlineStr">
        <is>
          <t>2026-10-13</t>
        </is>
      </c>
      <c r="O23" s="7" t="inlineStr">
        <is>
          <t>Wykonano na BiletTO 1.0.0-rc1</t>
        </is>
      </c>
    </row>
    <row r="24">
      <c r="A24" s="7" t="inlineStr">
        <is>
          <t>TC-REJ-023</t>
        </is>
      </c>
      <c r="B24" s="7" t="inlineStr">
        <is>
          <t>Hasło dłuższe niż 24 znaki (25 znaków)</t>
        </is>
      </c>
      <c r="C24" s="7" t="inlineStr">
        <is>
          <t>REQ-REJ-07</t>
        </is>
      </c>
      <c r="D24" s="7" t="inlineStr">
        <is>
          <t>AWB</t>
        </is>
      </c>
      <c r="E24" s="7" t="inlineStr">
        <is>
          <t>Średni</t>
        </is>
      </c>
      <c r="F24" s="7" t="inlineStr">
        <is>
          <t>Dane początkowe (install.php?reset=1). Konto „ola_fan” nie istnieje.</t>
        </is>
      </c>
      <c r="G24" s="7" t="inlineStr">
        <is>
          <t>login: ola_fan
e-mail: ola@example.com
telefon: (puste)
wiek: 25
hasło: Koncert2026Koncert2026Abc
powtórz hasło: Koncert2026Koncert2026Abc
regulamin: zaznaczony</t>
        </is>
      </c>
      <c r="H24" s="7" t="inlineStr">
        <is>
          <t>1. Otwórz stronę Rejestracja.
2. Wypełnij formularz danymi testowymi.
3. Kliknij „Załóż konto”.</t>
        </is>
      </c>
      <c r="I24" s="7" t="inlineStr">
        <is>
          <t>Komunikat „Hasło musi mieć od 8 do 24 znaków i zawierać literę oraz cyfrę.”; konto NIE jest tworzone; brak komunikatu o sukcesie.</t>
        </is>
      </c>
      <c r="J24" s="7" t="inlineStr">
        <is>
          <t>Komunikat „Hasło musi mieć od 8 do 24 znaków i zawierać literę oraz cyfrę.”; konto nie powstało (sprawdzono w panelu Administracja).</t>
        </is>
      </c>
      <c r="K24" s="7" t="inlineStr">
        <is>
          <t>Zaliczony</t>
        </is>
      </c>
      <c r="L24" s="7" t="n"/>
      <c r="M24" s="7" t="inlineStr">
        <is>
          <t>A. Nowak</t>
        </is>
      </c>
      <c r="N24" s="7" t="inlineStr">
        <is>
          <t>2026-10-13</t>
        </is>
      </c>
      <c r="O24" s="7" t="inlineStr">
        <is>
          <t>Wykonano na BiletTO 1.0.0-rc1</t>
        </is>
      </c>
    </row>
    <row r="25">
      <c r="A25" s="7" t="inlineStr">
        <is>
          <t>TC-REJ-024</t>
        </is>
      </c>
      <c r="B25" s="7" t="inlineStr">
        <is>
          <t>Hasło bez cyfry</t>
        </is>
      </c>
      <c r="C25" s="7" t="inlineStr">
        <is>
          <t>REQ-REJ-07</t>
        </is>
      </c>
      <c r="D25" s="7" t="inlineStr">
        <is>
          <t>EP</t>
        </is>
      </c>
      <c r="E25" s="7" t="inlineStr">
        <is>
          <t>Średni</t>
        </is>
      </c>
      <c r="F25" s="7" t="inlineStr">
        <is>
          <t>Dane początkowe (install.php?reset=1). Konto „ola_fan” nie istnieje.</t>
        </is>
      </c>
      <c r="G25" s="7" t="inlineStr">
        <is>
          <t>login: ola_fan
e-mail: ola@example.com
telefon: (puste)
wiek: 25
hasło: KoncertRock
powtórz hasło: KoncertRock
regulamin: zaznaczony</t>
        </is>
      </c>
      <c r="H25" s="7" t="inlineStr">
        <is>
          <t>1. Otwórz stronę Rejestracja.
2. Wypełnij formularz danymi testowymi.
3. Kliknij „Załóż konto”.</t>
        </is>
      </c>
      <c r="I25" s="7" t="inlineStr">
        <is>
          <t>Komunikat „Hasło musi mieć od 8 do 24 znaków i zawierać literę oraz cyfrę.”; konto NIE jest tworzone; brak komunikatu o sukcesie.</t>
        </is>
      </c>
      <c r="J25" s="7" t="inlineStr">
        <is>
          <t>Komunikat „Hasło musi mieć od 8 do 24 znaków i zawierać literę oraz cyfrę.”; konto nie powstało (sprawdzono w panelu Administracja).</t>
        </is>
      </c>
      <c r="K25" s="7" t="inlineStr">
        <is>
          <t>Zaliczony</t>
        </is>
      </c>
      <c r="L25" s="7" t="n"/>
      <c r="M25" s="7" t="inlineStr">
        <is>
          <t>A. Nowak</t>
        </is>
      </c>
      <c r="N25" s="7" t="inlineStr">
        <is>
          <t>2026-10-13</t>
        </is>
      </c>
      <c r="O25" s="7" t="inlineStr">
        <is>
          <t>Wykonano na BiletTO 1.0.0-rc1</t>
        </is>
      </c>
    </row>
    <row r="26">
      <c r="A26" s="7" t="inlineStr">
        <is>
          <t>TC-REJ-025</t>
        </is>
      </c>
      <c r="B26" s="7" t="inlineStr">
        <is>
          <t>Hasło bez litery</t>
        </is>
      </c>
      <c r="C26" s="7" t="inlineStr">
        <is>
          <t>REQ-REJ-07</t>
        </is>
      </c>
      <c r="D26" s="7" t="inlineStr">
        <is>
          <t>EP</t>
        </is>
      </c>
      <c r="E26" s="7" t="inlineStr">
        <is>
          <t>Średni</t>
        </is>
      </c>
      <c r="F26" s="7" t="inlineStr">
        <is>
          <t>Dane początkowe (install.php?reset=1). Konto „ola_fan” nie istnieje.</t>
        </is>
      </c>
      <c r="G26" s="7" t="inlineStr">
        <is>
          <t>login: ola_fan
e-mail: ola@example.com
telefon: (puste)
wiek: 25
hasło: 12345678
powtórz hasło: 12345678
regulamin: zaznaczony</t>
        </is>
      </c>
      <c r="H26" s="7" t="inlineStr">
        <is>
          <t>1. Otwórz stronę Rejestracja.
2. Wypełnij formularz danymi testowymi.
3. Kliknij „Załóż konto”.</t>
        </is>
      </c>
      <c r="I26" s="7" t="inlineStr">
        <is>
          <t>Komunikat „Hasło musi mieć od 8 do 24 znaków i zawierać literę oraz cyfrę.”; konto NIE jest tworzone; brak komunikatu o sukcesie.</t>
        </is>
      </c>
      <c r="J26" s="7" t="inlineStr">
        <is>
          <t>Komunikat „Hasło musi mieć od 8 do 24 znaków i zawierać literę oraz cyfrę.”; konto nie powstało (sprawdzono w panelu Administracja).</t>
        </is>
      </c>
      <c r="K26" s="7" t="inlineStr">
        <is>
          <t>Zaliczony</t>
        </is>
      </c>
      <c r="L26" s="7" t="n"/>
      <c r="M26" s="7" t="inlineStr">
        <is>
          <t>A. Nowak</t>
        </is>
      </c>
      <c r="N26" s="7" t="inlineStr">
        <is>
          <t>2026-10-13</t>
        </is>
      </c>
      <c r="O26" s="7" t="inlineStr">
        <is>
          <t>Wykonano na BiletTO 1.0.0-rc1</t>
        </is>
      </c>
    </row>
    <row r="27">
      <c r="A27" s="7" t="inlineStr">
        <is>
          <t>TC-REJ-026</t>
        </is>
      </c>
      <c r="B27" s="7" t="inlineStr">
        <is>
          <t>Powtórzone hasło różne od hasła</t>
        </is>
      </c>
      <c r="C27" s="7" t="inlineStr">
        <is>
          <t>REQ-REJ-08</t>
        </is>
      </c>
      <c r="D27" s="7" t="inlineStr">
        <is>
          <t>EP</t>
        </is>
      </c>
      <c r="E27" s="7" t="inlineStr">
        <is>
          <t>Wysoki</t>
        </is>
      </c>
      <c r="F27" s="7" t="inlineStr">
        <is>
          <t>Dane początkowe (install.php?reset=1). Konto „ola_fan” nie istnieje.</t>
        </is>
      </c>
      <c r="G27" s="7" t="inlineStr">
        <is>
          <t>login: ola_fan
e-mail: ola@example.com
telefon: (puste)
wiek: 25
hasło: Koncert2026
powtórz hasło: Koncert2027
regulamin: zaznaczony</t>
        </is>
      </c>
      <c r="H27" s="7" t="inlineStr">
        <is>
          <t>1. Otwórz stronę Rejestracja.
2. Wypełnij formularz danymi testowymi.
3. Kliknij „Załóż konto”.</t>
        </is>
      </c>
      <c r="I27" s="7" t="inlineStr">
        <is>
          <t>Komunikat „Hasła nie są identyczne.”; konto NIE jest tworzone; brak komunikatu o sukcesie.</t>
        </is>
      </c>
      <c r="J27" s="7" t="inlineStr">
        <is>
          <t>Komunikat „Hasła nie są identyczne.”; konto nie powstało (sprawdzono w panelu Administracja).</t>
        </is>
      </c>
      <c r="K27" s="7" t="inlineStr">
        <is>
          <t>Zaliczony</t>
        </is>
      </c>
      <c r="L27" s="7" t="n"/>
      <c r="M27" s="7" t="inlineStr">
        <is>
          <t>A. Nowak</t>
        </is>
      </c>
      <c r="N27" s="7" t="inlineStr">
        <is>
          <t>2026-10-13</t>
        </is>
      </c>
      <c r="O27" s="7" t="inlineStr">
        <is>
          <t>Wykonano na BiletTO 1.0.0-rc1</t>
        </is>
      </c>
    </row>
    <row r="28">
      <c r="A28" s="7" t="inlineStr">
        <is>
          <t>TC-REJ-027</t>
        </is>
      </c>
      <c r="B28" s="7" t="inlineStr">
        <is>
          <t>Regulamin niezaakceptowany</t>
        </is>
      </c>
      <c r="C28" s="7" t="inlineStr">
        <is>
          <t>REQ-REJ-09</t>
        </is>
      </c>
      <c r="D28" s="7" t="inlineStr">
        <is>
          <t>EP</t>
        </is>
      </c>
      <c r="E28" s="7" t="inlineStr">
        <is>
          <t>Wysoki</t>
        </is>
      </c>
      <c r="F28" s="7" t="inlineStr">
        <is>
          <t>Dane początkowe (install.php?reset=1). Konto „ola_fan” nie istnieje.</t>
        </is>
      </c>
      <c r="G28" s="7" t="inlineStr">
        <is>
          <t>login: ola_fan
e-mail: ola@example.com
telefon: (puste)
wiek: 25
hasło: Koncert2026
powtórz hasło: Koncert2026
regulamin: NIEzaznaczony</t>
        </is>
      </c>
      <c r="H28" s="7" t="inlineStr">
        <is>
          <t>1. Otwórz stronę Rejestracja.
2. Wypełnij formularz danymi testowymi.
3. Kliknij „Załóż konto”.</t>
        </is>
      </c>
      <c r="I28" s="7" t="inlineStr">
        <is>
          <t>Komunikat „Musisz zaakceptować regulamin.”; konto NIE jest tworzone; brak komunikatu o sukcesie.</t>
        </is>
      </c>
      <c r="J28" s="7" t="inlineStr">
        <is>
          <t>Komunikat „Musisz zaakceptować regulamin.”; konto nie powstało (sprawdzono w panelu Administracja).</t>
        </is>
      </c>
      <c r="K28" s="7" t="inlineStr">
        <is>
          <t>Zaliczony</t>
        </is>
      </c>
      <c r="L28" s="7" t="n"/>
      <c r="M28" s="7" t="inlineStr">
        <is>
          <t>A. Nowak</t>
        </is>
      </c>
      <c r="N28" s="7" t="inlineStr">
        <is>
          <t>2026-10-13</t>
        </is>
      </c>
      <c r="O28" s="7" t="inlineStr">
        <is>
          <t>Wykonano na BiletTO 1.0.0-rc1</t>
        </is>
      </c>
    </row>
    <row r="29">
      <c r="A29" s="7" t="inlineStr">
        <is>
          <t>TC-REJ-028</t>
        </is>
      </c>
      <c r="B29" s="7" t="inlineStr">
        <is>
          <t>Wiele błędów naraz – lista wszystkich błędów</t>
        </is>
      </c>
      <c r="C29" s="7" t="inlineStr">
        <is>
          <t>REQ-REJ-10</t>
        </is>
      </c>
      <c r="D29" s="7" t="inlineStr">
        <is>
          <t>Doświadczenie</t>
        </is>
      </c>
      <c r="E29" s="7" t="inlineStr">
        <is>
          <t>Średni</t>
        </is>
      </c>
      <c r="F29" s="7" t="inlineStr">
        <is>
          <t>Dane początkowe (install.php?reset=1). Konto „1A” nie istnieje.</t>
        </is>
      </c>
      <c r="G29" s="7" t="inlineStr">
        <is>
          <t>login: 1A
e-mail: x
telefon: 12
wiek: 12
hasło: abc
powtórz hasło: abd
regulamin: NIEzaznaczony</t>
        </is>
      </c>
      <c r="H29" s="7" t="inlineStr">
        <is>
          <t>1. Otwórz stronę Rejestracja.
2. Wypełnij formularz danymi testowymi.
3. Kliknij „Załóż konto”.</t>
        </is>
      </c>
      <c r="I29" s="7" t="inlineStr">
        <is>
          <t>Lista 7 komunikatów (login, e-mail, telefon, wiek, hasło, hasła różne, regulamin) – treści wg REQ-REJ-02, 04–09; konto NIE jest tworzone; pola Login, E-mail, Telefon i Wiek zachowują wpisane wartości.</t>
        </is>
      </c>
      <c r="J29" s="7" t="inlineStr">
        <is>
          <t>Lista 7 komunikatów zgodna z REQ-REJ-02, 04–09; konto nie powstało; pola Login („1A”), E-mail („x”) i Wiek („12”) zachowane, pole Telefon PUSTE.</t>
        </is>
      </c>
      <c r="K29" s="7" t="inlineStr">
        <is>
          <t>Niezaliczony</t>
        </is>
      </c>
      <c r="L29" s="7" t="inlineStr">
        <is>
          <t>DEF-013</t>
        </is>
      </c>
      <c r="M29" s="7" t="inlineStr">
        <is>
          <t>A. Nowak</t>
        </is>
      </c>
      <c r="N29" s="7" t="inlineStr">
        <is>
          <t>2026-10-13</t>
        </is>
      </c>
      <c r="O29" s="7" t="inlineStr">
        <is>
          <t>Wykonano na BiletTO 1.0.0-rc1</t>
        </is>
      </c>
    </row>
    <row r="30">
      <c r="A30" s="7" t="inlineStr">
        <is>
          <t>TC-CEN-001</t>
        </is>
      </c>
      <c r="B30" s="7" t="inlineStr">
        <is>
          <t>Brak karty i kodu, Balkon ×2, Kurier</t>
        </is>
      </c>
      <c r="C30" s="7" t="inlineStr">
        <is>
          <t>REQ-CEN-03, REQ-CEN-06, REQ-CEN-07</t>
        </is>
      </c>
      <c r="D30" s="7" t="inlineStr">
        <is>
          <t>Tablica decyzyjna</t>
        </is>
      </c>
      <c r="E30" s="7" t="inlineStr">
        <is>
          <t>Wysoki</t>
        </is>
      </c>
      <c r="F30" s="7" t="inlineStr">
        <is>
          <t>Otwarta strona Kalkulator (logowanie niewymagane).</t>
        </is>
      </c>
      <c r="G30" s="7" t="inlineStr">
        <is>
          <t>sektor: Balkon
liczba biletów: 2
Klub Fana: nie
kod: (pusty)
dostawa: Kurier</t>
        </is>
      </c>
      <c r="H30" s="7" t="inlineStr">
        <is>
          <t>1. Otwórz stronę Kalkulator.
2. Wybierz sektor, wpisz liczbę biletów, ustaw kartę i kod, wybierz dostawę.
3. Kliknij „Oblicz”.</t>
        </is>
      </c>
      <c r="I30" s="7" t="inlineStr">
        <is>
          <t>Wartość biletów: 199.98 zł; rabat: 0%; opłata serwisowa: 4.00 zł; dostawa: 20.00 zł; do zapłaty: 223.98 zł.</t>
        </is>
      </c>
      <c r="J30" s="7" t="inlineStr">
        <is>
          <t>Wartość biletów: 199.98 zł; rabat: 0%; opłata serwisowa: 4.00 zł; dostawa: 20.00 zł; do zapłaty: 223.98 zł.</t>
        </is>
      </c>
      <c r="K30" s="7" t="inlineStr">
        <is>
          <t>Zaliczony</t>
        </is>
      </c>
      <c r="L30" s="7" t="n"/>
      <c r="M30" s="7" t="inlineStr">
        <is>
          <t>B. Wiśniewska</t>
        </is>
      </c>
      <c r="N30" s="7" t="inlineStr">
        <is>
          <t>2026-10-13</t>
        </is>
      </c>
      <c r="O30" s="7" t="inlineStr">
        <is>
          <t>Wykonano na BiletTO 1.0.0-rc1</t>
        </is>
      </c>
    </row>
    <row r="31">
      <c r="A31" s="7" t="inlineStr">
        <is>
          <t>TC-CEN-002</t>
        </is>
      </c>
      <c r="B31" s="7" t="inlineStr">
        <is>
          <t>Tylko karta Klubu Fana (Trybuna ×1, Kurier)</t>
        </is>
      </c>
      <c r="C31" s="7" t="inlineStr">
        <is>
          <t>REQ-CEN-03, REQ-CEN-05</t>
        </is>
      </c>
      <c r="D31" s="7" t="inlineStr">
        <is>
          <t>Tablica decyzyjna</t>
        </is>
      </c>
      <c r="E31" s="7" t="inlineStr">
        <is>
          <t>Wysoki</t>
        </is>
      </c>
      <c r="F31" s="7" t="inlineStr">
        <is>
          <t>Otwarta strona Kalkulator (logowanie niewymagane).</t>
        </is>
      </c>
      <c r="G31" s="7" t="inlineStr">
        <is>
          <t>sektor: Trybuna
liczba biletów: 1
Klub Fana: tak
kod: (pusty)
dostawa: Kurier</t>
        </is>
      </c>
      <c r="H31" s="7" t="inlineStr">
        <is>
          <t>1. Otwórz stronę Kalkulator.
2. Wybierz sektor, wpisz liczbę biletów, ustaw kartę i kod, wybierz dostawę.
3. Kliknij „Oblicz”.</t>
        </is>
      </c>
      <c r="I31" s="7" t="inlineStr">
        <is>
          <t>Wartość biletów: 199.99 zł; rabat: 10%; opłata serwisowa: 2.00 zł; dostawa: 0.00 zł; do zapłaty: 181.99 zł.</t>
        </is>
      </c>
      <c r="J31" s="7" t="inlineStr">
        <is>
          <t>Wartość biletów: 199.99 zł; rabat: 10%; opłata serwisowa: 2.00 zł; dostawa: 0.00 zł; do zapłaty: 181.99 zł.</t>
        </is>
      </c>
      <c r="K31" s="7" t="inlineStr">
        <is>
          <t>Zaliczony</t>
        </is>
      </c>
      <c r="L31" s="7" t="n"/>
      <c r="M31" s="7" t="inlineStr">
        <is>
          <t>B. Wiśniewska</t>
        </is>
      </c>
      <c r="N31" s="7" t="inlineStr">
        <is>
          <t>2026-10-13</t>
        </is>
      </c>
      <c r="O31" s="7" t="inlineStr">
        <is>
          <t>Wykonano na BiletTO 1.0.0-rc1</t>
        </is>
      </c>
    </row>
    <row r="32">
      <c r="A32" s="7" t="inlineStr">
        <is>
          <t>TC-CEN-003</t>
        </is>
      </c>
      <c r="B32" s="7" t="inlineStr">
        <is>
          <t>Tylko kod FAN2026, odbiór w kasie</t>
        </is>
      </c>
      <c r="C32" s="7" t="inlineStr">
        <is>
          <t>REQ-CEN-03, REQ-CEN-06</t>
        </is>
      </c>
      <c r="D32" s="7" t="inlineStr">
        <is>
          <t>Tablica decyzyjna</t>
        </is>
      </c>
      <c r="E32" s="7" t="inlineStr">
        <is>
          <t>Wysoki</t>
        </is>
      </c>
      <c r="F32" s="7" t="inlineStr">
        <is>
          <t>Otwarta strona Kalkulator (logowanie niewymagane).</t>
        </is>
      </c>
      <c r="G32" s="7" t="inlineStr">
        <is>
          <t>sektor: Balkon
liczba biletów: 1
Klub Fana: nie
kod: „FAN2026”
dostawa: Odbiór w kasie</t>
        </is>
      </c>
      <c r="H32" s="7" t="inlineStr">
        <is>
          <t>1. Otwórz stronę Kalkulator.
2. Wybierz sektor, wpisz liczbę biletów, ustaw kartę i kod, wybierz dostawę.
3. Kliknij „Oblicz”.</t>
        </is>
      </c>
      <c r="I32" s="7" t="inlineStr">
        <is>
          <t>Wartość biletów: 99.99 zł; rabat: 10%; opłata serwisowa: 2.00 zł; dostawa: 5.00 zł; do zapłaty: 96.99 zł.</t>
        </is>
      </c>
      <c r="J32" s="7" t="inlineStr">
        <is>
          <t>Wartość biletów: 99.99 zł; rabat: 10%; opłata serwisowa: 2.00 zł; dostawa: 5.00 zł; do zapłaty: 96.99 zł.</t>
        </is>
      </c>
      <c r="K32" s="7" t="inlineStr">
        <is>
          <t>Zaliczony</t>
        </is>
      </c>
      <c r="L32" s="7" t="n"/>
      <c r="M32" s="7" t="inlineStr">
        <is>
          <t>B. Wiśniewska</t>
        </is>
      </c>
      <c r="N32" s="7" t="inlineStr">
        <is>
          <t>2026-10-13</t>
        </is>
      </c>
      <c r="O32" s="7" t="inlineStr">
        <is>
          <t>Wykonano na BiletTO 1.0.0-rc1</t>
        </is>
      </c>
    </row>
    <row r="33">
      <c r="A33" s="7" t="inlineStr">
        <is>
          <t>TC-CEN-004</t>
        </is>
      </c>
      <c r="B33" s="7" t="inlineStr">
        <is>
          <t>Karta i poprawny kod (przykład ze specyfikacji)</t>
        </is>
      </c>
      <c r="C33" s="7" t="inlineStr">
        <is>
          <t>REQ-CEN-03, REQ-CEN-08</t>
        </is>
      </c>
      <c r="D33" s="7" t="inlineStr">
        <is>
          <t>Tablica decyzyjna</t>
        </is>
      </c>
      <c r="E33" s="7" t="inlineStr">
        <is>
          <t>Wysoki</t>
        </is>
      </c>
      <c r="F33" s="7" t="inlineStr">
        <is>
          <t>Otwarta strona Kalkulator (logowanie niewymagane).</t>
        </is>
      </c>
      <c r="G33" s="7" t="inlineStr">
        <is>
          <t>sektor: Płyta
liczba biletów: 2
Klub Fana: tak
kod: „fan2026”
dostawa: Kurier</t>
        </is>
      </c>
      <c r="H33" s="7" t="inlineStr">
        <is>
          <t>1. Otwórz stronę Kalkulator.
2. Wybierz sektor, wpisz liczbę biletów, ustaw kartę i kod, wybierz dostawę.
3. Kliknij „Oblicz”.</t>
        </is>
      </c>
      <c r="I33" s="7" t="inlineStr">
        <is>
          <t>Wartość biletów: 500.00 zł; rabat: 15%; opłata serwisowa: 4.00 zł; dostawa: 0.00 zł; do zapłaty: 429.00 zł.</t>
        </is>
      </c>
      <c r="J33" s="7" t="inlineStr">
        <is>
          <t>rc1: rabat 20%, do zapłaty 404.00 zł (DEF-009). Retest rc2: wartość biletów 500.00 zł; rabat 15%; opłata serwisowa 4.00 zł; dostawa 0.00 zł; do zapłaty 429.00 zł.</t>
        </is>
      </c>
      <c r="K33" s="7" t="inlineStr">
        <is>
          <t>Zaliczony</t>
        </is>
      </c>
      <c r="L33" s="7" t="inlineStr">
        <is>
          <t>DEF-009</t>
        </is>
      </c>
      <c r="M33" s="7" t="inlineStr">
        <is>
          <t>B. Wiśniewska</t>
        </is>
      </c>
      <c r="N33" s="7" t="inlineStr">
        <is>
          <t>2026-10-15</t>
        </is>
      </c>
      <c r="O33" s="7" t="inlineStr">
        <is>
          <t>Niezaliczony w rc1 – retest po naprawie DEF-009 zaliczony.</t>
        </is>
      </c>
    </row>
    <row r="34">
      <c r="A34" s="7" t="inlineStr">
        <is>
          <t>TC-CEN-005</t>
        </is>
      </c>
      <c r="B34" s="7" t="inlineStr">
        <is>
          <t>Kod małymi literami ze spacjami, E-bilet</t>
        </is>
      </c>
      <c r="C34" s="7" t="inlineStr">
        <is>
          <t>REQ-CEN-04, REQ-CEN-06</t>
        </is>
      </c>
      <c r="D34" s="7" t="inlineStr">
        <is>
          <t>EP</t>
        </is>
      </c>
      <c r="E34" s="7" t="inlineStr">
        <is>
          <t>Średni</t>
        </is>
      </c>
      <c r="F34" s="7" t="inlineStr">
        <is>
          <t>Otwarta strona Kalkulator (logowanie niewymagane).</t>
        </is>
      </c>
      <c r="G34" s="7" t="inlineStr">
        <is>
          <t>sektor: Płyta
liczba biletów: 1
Klub Fana: nie
kod: „ fan2026 ”
dostawa: E-bilet</t>
        </is>
      </c>
      <c r="H34" s="7" t="inlineStr">
        <is>
          <t>1. Otwórz stronę Kalkulator.
2. Wybierz sektor, wpisz liczbę biletów, ustaw kartę i kod, wybierz dostawę.
3. Kliknij „Oblicz”.</t>
        </is>
      </c>
      <c r="I34" s="7" t="inlineStr">
        <is>
          <t>Wartość biletów: 250.00 zł; rabat: 10%; opłata serwisowa: 2.00 zł; dostawa: 0.00 zł; do zapłaty: 227.00 zł.</t>
        </is>
      </c>
      <c r="J34" s="7" t="inlineStr">
        <is>
          <t>Wartość biletów: 250.00 zł; rabat: 10%; opłata serwisowa: 2.00 zł; dostawa: 0.00 zł; do zapłaty: 227.00 zł.</t>
        </is>
      </c>
      <c r="K34" s="7" t="inlineStr">
        <is>
          <t>Zaliczony</t>
        </is>
      </c>
      <c r="L34" s="7" t="n"/>
      <c r="M34" s="7" t="inlineStr">
        <is>
          <t>B. Wiśniewska</t>
        </is>
      </c>
      <c r="N34" s="7" t="inlineStr">
        <is>
          <t>2026-10-13</t>
        </is>
      </c>
      <c r="O34" s="7" t="inlineStr">
        <is>
          <t>Wykonano na BiletTO 1.0.0-rc1</t>
        </is>
      </c>
    </row>
    <row r="35">
      <c r="A35" s="7" t="inlineStr">
        <is>
          <t>TC-CEN-006</t>
        </is>
      </c>
      <c r="B35" s="7" t="inlineStr">
        <is>
          <t>Niepoprawny kod promocyjny</t>
        </is>
      </c>
      <c r="C35" s="7" t="inlineStr">
        <is>
          <t>REQ-CEN-04, REQ-CEN-06</t>
        </is>
      </c>
      <c r="D35" s="7" t="inlineStr">
        <is>
          <t>EP</t>
        </is>
      </c>
      <c r="E35" s="7" t="inlineStr">
        <is>
          <t>Średni</t>
        </is>
      </c>
      <c r="F35" s="7" t="inlineStr">
        <is>
          <t>Otwarta strona Kalkulator (logowanie niewymagane).</t>
        </is>
      </c>
      <c r="G35" s="7" t="inlineStr">
        <is>
          <t>sektor: Płyta
liczba biletów: 1
Klub Fana: nie
kod: „FAN2025”
dostawa: Kurier</t>
        </is>
      </c>
      <c r="H35" s="7" t="inlineStr">
        <is>
          <t>1. Otwórz stronę Kalkulator.
2. Wybierz sektor, wpisz liczbę biletów, ustaw kartę i kod, wybierz dostawę.
3. Kliknij „Oblicz”.</t>
        </is>
      </c>
      <c r="I35" s="7" t="inlineStr">
        <is>
          <t>Wartość biletów: 250.00 zł; rabat: 0%; opłata serwisowa: 2.00 zł; dostawa: 20.00 zł; do zapłaty: 272.00 zł. Komunikat „Nieprawidłowy kod promocyjny – został pominięty.”</t>
        </is>
      </c>
      <c r="J35" s="7" t="inlineStr">
        <is>
          <t>Wartość biletów: 250.00 zł; rabat: 0%; opłata serwisowa: 2.00 zł; dostawa: 20.00 zł; do zapłaty: 272.00 zł. Wyświetlony komunikat „Nieprawidłowy kod promocyjny – został pominięty.”</t>
        </is>
      </c>
      <c r="K35" s="7" t="inlineStr">
        <is>
          <t>Zaliczony</t>
        </is>
      </c>
      <c r="L35" s="7" t="n"/>
      <c r="M35" s="7" t="inlineStr">
        <is>
          <t>B. Wiśniewska</t>
        </is>
      </c>
      <c r="N35" s="7" t="inlineStr">
        <is>
          <t>2026-10-13</t>
        </is>
      </c>
      <c r="O35" s="7" t="inlineStr">
        <is>
          <t>Wykonano na BiletTO 1.0.0-rc1</t>
        </is>
      </c>
    </row>
    <row r="36">
      <c r="A36" s="7" t="inlineStr">
        <is>
          <t>TC-CEN-007</t>
        </is>
      </c>
      <c r="B36" s="7" t="inlineStr">
        <is>
          <t>Wartość biletów tuż poniżej progu darmowej dostawy (499,95)</t>
        </is>
      </c>
      <c r="C36" s="7" t="inlineStr">
        <is>
          <t>REQ-CEN-05, REQ-CEN-07</t>
        </is>
      </c>
      <c r="D36" s="7" t="inlineStr">
        <is>
          <t>AWB</t>
        </is>
      </c>
      <c r="E36" s="7" t="inlineStr">
        <is>
          <t>Wysoki</t>
        </is>
      </c>
      <c r="F36" s="7" t="inlineStr">
        <is>
          <t>Otwarta strona Kalkulator (logowanie niewymagane).</t>
        </is>
      </c>
      <c r="G36" s="7" t="inlineStr">
        <is>
          <t>sektor: Balkon
liczba biletów: 5
Klub Fana: nie
kod: (pusty)
dostawa: Kurier</t>
        </is>
      </c>
      <c r="H36" s="7" t="inlineStr">
        <is>
          <t>1. Otwórz stronę Kalkulator.
2. Wybierz sektor, wpisz liczbę biletów, ustaw kartę i kod, wybierz dostawę.
3. Kliknij „Oblicz”.</t>
        </is>
      </c>
      <c r="I36" s="7" t="inlineStr">
        <is>
          <t>Wartość biletów: 499.95 zł; rabat: 0%; opłata serwisowa: 10.00 zł; dostawa: 20.00 zł; do zapłaty: 529.95 zł.</t>
        </is>
      </c>
      <c r="J36" s="7" t="inlineStr">
        <is>
          <t>Wartość biletów: 499.95 zł; rabat: 0%; opłata serwisowa: 10.00 zł; dostawa: 20.00 zł; do zapłaty: 529.95 zł.</t>
        </is>
      </c>
      <c r="K36" s="7" t="inlineStr">
        <is>
          <t>Zaliczony</t>
        </is>
      </c>
      <c r="L36" s="7" t="n"/>
      <c r="M36" s="7" t="inlineStr">
        <is>
          <t>B. Wiśniewska</t>
        </is>
      </c>
      <c r="N36" s="7" t="inlineStr">
        <is>
          <t>2026-10-13</t>
        </is>
      </c>
      <c r="O36" s="7" t="inlineStr">
        <is>
          <t>Wykonano na BiletTO 1.0.0-rc1</t>
        </is>
      </c>
    </row>
    <row r="37">
      <c r="A37" s="7" t="inlineStr">
        <is>
          <t>TC-CEN-008</t>
        </is>
      </c>
      <c r="B37" s="7" t="inlineStr">
        <is>
          <t>Wartość biletów równa progowi darmowej dostawy (500,00)</t>
        </is>
      </c>
      <c r="C37" s="7" t="inlineStr">
        <is>
          <t>REQ-CEN-05</t>
        </is>
      </c>
      <c r="D37" s="7" t="inlineStr">
        <is>
          <t>AWB</t>
        </is>
      </c>
      <c r="E37" s="7" t="inlineStr">
        <is>
          <t>Wysoki</t>
        </is>
      </c>
      <c r="F37" s="7" t="inlineStr">
        <is>
          <t>Otwarta strona Kalkulator (logowanie niewymagane).</t>
        </is>
      </c>
      <c r="G37" s="7" t="inlineStr">
        <is>
          <t>sektor: Płyta
liczba biletów: 2
Klub Fana: nie
kod: (pusty)
dostawa: Kurier</t>
        </is>
      </c>
      <c r="H37" s="7" t="inlineStr">
        <is>
          <t>1. Otwórz stronę Kalkulator.
2. Wybierz sektor, wpisz liczbę biletów, ustaw kartę i kod, wybierz dostawę.
3. Kliknij „Oblicz”.</t>
        </is>
      </c>
      <c r="I37" s="7" t="inlineStr">
        <is>
          <t>Wartość biletów: 500.00 zł; rabat: 0%; opłata serwisowa: 4.00 zł; dostawa: 0.00 zł; do zapłaty: 504.00 zł.</t>
        </is>
      </c>
      <c r="J37" s="7" t="inlineStr">
        <is>
          <t>rc1: dostawa 20.00 zł, do zapłaty 524.00 zł (DEF-010). Retest rc2: wartość biletów 500.00 zł; rabat 0%; opłata serwisowa 4.00 zł; dostawa 0.00 zł; do zapłaty 504.00 zł.</t>
        </is>
      </c>
      <c r="K37" s="7" t="inlineStr">
        <is>
          <t>Zaliczony</t>
        </is>
      </c>
      <c r="L37" s="7" t="inlineStr">
        <is>
          <t>DEF-010</t>
        </is>
      </c>
      <c r="M37" s="7" t="inlineStr">
        <is>
          <t>B. Wiśniewska</t>
        </is>
      </c>
      <c r="N37" s="7" t="inlineStr">
        <is>
          <t>2026-10-15</t>
        </is>
      </c>
      <c r="O37" s="7" t="inlineStr">
        <is>
          <t>Niezaliczony w rc1 – retest po poprawce DEF-010 zaliczony.</t>
        </is>
      </c>
    </row>
    <row r="38">
      <c r="A38" s="7" t="inlineStr">
        <is>
          <t>TC-CEN-009</t>
        </is>
      </c>
      <c r="B38" s="7" t="inlineStr">
        <is>
          <t>Próg dostawy liczony przed rabatem (500,00 z kodem)</t>
        </is>
      </c>
      <c r="C38" s="7" t="inlineStr">
        <is>
          <t>REQ-CEN-05, REQ-CEN-07</t>
        </is>
      </c>
      <c r="D38" s="7" t="inlineStr">
        <is>
          <t>EP</t>
        </is>
      </c>
      <c r="E38" s="7" t="inlineStr">
        <is>
          <t>Średni</t>
        </is>
      </c>
      <c r="F38" s="7" t="inlineStr">
        <is>
          <t>Otwarta strona Kalkulator (logowanie niewymagane).</t>
        </is>
      </c>
      <c r="G38" s="7" t="inlineStr">
        <is>
          <t>sektor: Płyta
liczba biletów: 2
Klub Fana: nie
kod: „FAN2026”
dostawa: Kurier</t>
        </is>
      </c>
      <c r="H38" s="7" t="inlineStr">
        <is>
          <t>1. Otwórz stronę Kalkulator.
2. Wybierz sektor, wpisz liczbę biletów, ustaw kartę i kod, wybierz dostawę.
3. Kliknij „Oblicz”.</t>
        </is>
      </c>
      <c r="I38" s="7" t="inlineStr">
        <is>
          <t>Wartość biletów: 500.00 zł; rabat: 10%; opłata serwisowa: 4.00 zł; dostawa: 0.00 zł; do zapłaty: 454.00 zł.</t>
        </is>
      </c>
      <c r="J38" s="7" t="inlineStr">
        <is>
          <t>rc1 i retest rc2: wartość biletów 500.00 zł; rabat 10%; opłata serwisowa 4.00 zł; dostawa 20.00 zł; do zapłaty 474.00 zł.</t>
        </is>
      </c>
      <c r="K38" s="7" t="inlineStr">
        <is>
          <t>Niezaliczony</t>
        </is>
      </c>
      <c r="L38" s="7" t="inlineStr">
        <is>
          <t>DEF-010</t>
        </is>
      </c>
      <c r="M38" s="7" t="inlineStr">
        <is>
          <t>B. Wiśniewska</t>
        </is>
      </c>
      <c r="N38" s="7" t="inlineStr">
        <is>
          <t>2026-10-15</t>
        </is>
      </c>
      <c r="O38" s="7" t="inlineStr">
        <is>
          <t>Poprawka w rc2 (&gt; zamieniono na &gt;=) naprawiła TC-CEN-008, ale próg nadal porównywany z kwotą PO rabacie (450,00 &lt; 500,00) – DEF-010 ponownie otwarty.</t>
        </is>
      </c>
    </row>
    <row r="39">
      <c r="A39" s="7" t="inlineStr">
        <is>
          <t>TC-CEN-010</t>
        </is>
      </c>
      <c r="B39" s="7" t="inlineStr">
        <is>
          <t>Liczba biletów 0 (poniżej zakresu)</t>
        </is>
      </c>
      <c r="C39" s="7" t="inlineStr">
        <is>
          <t>REQ-CEN-02</t>
        </is>
      </c>
      <c r="D39" s="7" t="inlineStr">
        <is>
          <t>AWB</t>
        </is>
      </c>
      <c r="E39" s="7" t="inlineStr">
        <is>
          <t>Wysoki</t>
        </is>
      </c>
      <c r="F39" s="7" t="inlineStr">
        <is>
          <t>Otwarta strona Kalkulator (logowanie niewymagane).</t>
        </is>
      </c>
      <c r="G39" s="7" t="inlineStr">
        <is>
          <t>sektor: Płyta
liczba biletów: 0
Klub Fana: nie
kod: (pusty)
dostawa: E-bilet</t>
        </is>
      </c>
      <c r="H39" s="7" t="inlineStr">
        <is>
          <t>1. Otwórz stronę Kalkulator.
2. Wybierz sektor, wpisz liczbę biletów, ustaw kartę i kod, wybierz dostawę.
3. Kliknij „Oblicz”.</t>
        </is>
      </c>
      <c r="I39" s="7" t="inlineStr">
        <is>
          <t>Komunikat „Liczba biletów musi być liczbą całkowitą z zakresu 1–6.”; wynik nie jest wyświetlany.</t>
        </is>
      </c>
      <c r="J39" s="7" t="inlineStr">
        <is>
          <t>Wyświetlony komunikat „Liczba biletów musi być liczbą całkowitą z zakresu 1–6.”; wynik nie wyświetlony.</t>
        </is>
      </c>
      <c r="K39" s="7" t="inlineStr">
        <is>
          <t>Zaliczony</t>
        </is>
      </c>
      <c r="L39" s="7" t="n"/>
      <c r="M39" s="7" t="inlineStr">
        <is>
          <t>B. Wiśniewska</t>
        </is>
      </c>
      <c r="N39" s="7" t="inlineStr">
        <is>
          <t>2026-10-13</t>
        </is>
      </c>
      <c r="O39" s="7" t="inlineStr">
        <is>
          <t>Wykonano na BiletTO 1.0.0-rc1</t>
        </is>
      </c>
    </row>
    <row r="40">
      <c r="A40" s="7" t="inlineStr">
        <is>
          <t>TC-CEN-011</t>
        </is>
      </c>
      <c r="B40" s="7" t="inlineStr">
        <is>
          <t>Liczba biletów minimalna (1)</t>
        </is>
      </c>
      <c r="C40" s="7" t="inlineStr">
        <is>
          <t>REQ-CEN-02, REQ-CEN-07</t>
        </is>
      </c>
      <c r="D40" s="7" t="inlineStr">
        <is>
          <t>AWB</t>
        </is>
      </c>
      <c r="E40" s="7" t="inlineStr">
        <is>
          <t>Średni</t>
        </is>
      </c>
      <c r="F40" s="7" t="inlineStr">
        <is>
          <t>Otwarta strona Kalkulator (logowanie niewymagane).</t>
        </is>
      </c>
      <c r="G40" s="7" t="inlineStr">
        <is>
          <t>sektor: Balkon
liczba biletów: 1
Klub Fana: nie
kod: (pusty)
dostawa: E-bilet</t>
        </is>
      </c>
      <c r="H40" s="7" t="inlineStr">
        <is>
          <t>1. Otwórz stronę Kalkulator.
2. Wybierz sektor, wpisz liczbę biletów, ustaw kartę i kod, wybierz dostawę.
3. Kliknij „Oblicz”.</t>
        </is>
      </c>
      <c r="I40" s="7" t="inlineStr">
        <is>
          <t>Wartość biletów: 99.99 zł; rabat: 0%; opłata serwisowa: 2.00 zł; dostawa: 0.00 zł; do zapłaty: 101.99 zł.</t>
        </is>
      </c>
      <c r="J40" s="7" t="inlineStr">
        <is>
          <t>Wartość biletów: 99.99 zł; rabat: 0%; opłata serwisowa: 2.00 zł; dostawa: 0.00 zł; do zapłaty: 101.99 zł.</t>
        </is>
      </c>
      <c r="K40" s="7" t="inlineStr">
        <is>
          <t>Zaliczony</t>
        </is>
      </c>
      <c r="L40" s="7" t="n"/>
      <c r="M40" s="7" t="inlineStr">
        <is>
          <t>B. Wiśniewska</t>
        </is>
      </c>
      <c r="N40" s="7" t="inlineStr">
        <is>
          <t>2026-10-13</t>
        </is>
      </c>
      <c r="O40" s="7" t="inlineStr">
        <is>
          <t>Wykonano na BiletTO 1.0.0-rc1</t>
        </is>
      </c>
    </row>
    <row r="41">
      <c r="A41" s="7" t="inlineStr">
        <is>
          <t>TC-CEN-012</t>
        </is>
      </c>
      <c r="B41" s="7" t="inlineStr">
        <is>
          <t>Liczba biletów maksymalna (6)</t>
        </is>
      </c>
      <c r="C41" s="7" t="inlineStr">
        <is>
          <t>REQ-CEN-02, REQ-CEN-05</t>
        </is>
      </c>
      <c r="D41" s="7" t="inlineStr">
        <is>
          <t>AWB</t>
        </is>
      </c>
      <c r="E41" s="7" t="inlineStr">
        <is>
          <t>Wysoki</t>
        </is>
      </c>
      <c r="F41" s="7" t="inlineStr">
        <is>
          <t>Otwarta strona Kalkulator (logowanie niewymagane).</t>
        </is>
      </c>
      <c r="G41" s="7" t="inlineStr">
        <is>
          <t>sektor: Trybuna
liczba biletów: 6
Klub Fana: nie
kod: (pusty)
dostawa: Kurier</t>
        </is>
      </c>
      <c r="H41" s="7" t="inlineStr">
        <is>
          <t>1. Otwórz stronę Kalkulator.
2. Wybierz sektor, wpisz liczbę biletów, ustaw kartę i kod, wybierz dostawę.
3. Kliknij „Oblicz”.</t>
        </is>
      </c>
      <c r="I41" s="7" t="inlineStr">
        <is>
          <t>Wartość biletów: 1199.94 zł; rabat: 0%; opłata serwisowa: 12.00 zł; dostawa: 0.00 zł; do zapłaty: 1211.94 zł.</t>
        </is>
      </c>
      <c r="J41" s="7" t="inlineStr">
        <is>
          <t>Wartość biletów: 1199.94 zł; rabat: 0%; opłata serwisowa: 12.00 zł; dostawa: 0.00 zł; do zapłaty: 1211.94 zł.</t>
        </is>
      </c>
      <c r="K41" s="7" t="inlineStr">
        <is>
          <t>Zaliczony</t>
        </is>
      </c>
      <c r="L41" s="7" t="n"/>
      <c r="M41" s="7" t="inlineStr">
        <is>
          <t>B. Wiśniewska</t>
        </is>
      </c>
      <c r="N41" s="7" t="inlineStr">
        <is>
          <t>2026-10-13</t>
        </is>
      </c>
      <c r="O41" s="7" t="inlineStr">
        <is>
          <t>Wykonano na BiletTO 1.0.0-rc1</t>
        </is>
      </c>
    </row>
    <row r="42">
      <c r="A42" s="7" t="inlineStr">
        <is>
          <t>TC-CEN-013</t>
        </is>
      </c>
      <c r="B42" s="7" t="inlineStr">
        <is>
          <t>Liczba biletów 7 (powyżej zakresu)</t>
        </is>
      </c>
      <c r="C42" s="7" t="inlineStr">
        <is>
          <t>REQ-CEN-02</t>
        </is>
      </c>
      <c r="D42" s="7" t="inlineStr">
        <is>
          <t>AWB</t>
        </is>
      </c>
      <c r="E42" s="7" t="inlineStr">
        <is>
          <t>Wysoki</t>
        </is>
      </c>
      <c r="F42" s="7" t="inlineStr">
        <is>
          <t>Otwarta strona Kalkulator (logowanie niewymagane).</t>
        </is>
      </c>
      <c r="G42" s="7" t="inlineStr">
        <is>
          <t>sektor: Płyta
liczba biletów: 7
Klub Fana: nie
kod: (pusty)
dostawa: E-bilet</t>
        </is>
      </c>
      <c r="H42" s="7" t="inlineStr">
        <is>
          <t>1. Otwórz stronę Kalkulator.
2. Wybierz sektor, wpisz liczbę biletów, ustaw kartę i kod, wybierz dostawę.
3. Kliknij „Oblicz”.</t>
        </is>
      </c>
      <c r="I42" s="7" t="inlineStr">
        <is>
          <t>Komunikat „Liczba biletów musi być liczbą całkowitą z zakresu 1–6.”; wynik nie jest wyświetlany.</t>
        </is>
      </c>
      <c r="J42" s="7" t="inlineStr">
        <is>
          <t>Brak komunikatu o błędzie; wynik: wartość biletów 1750.00 zł; rabat 0%; opłata serwisowa 14.00 zł; dostawa 0.00 zł; do zapłaty 1764.00 zł.</t>
        </is>
      </c>
      <c r="K42" s="7" t="inlineStr">
        <is>
          <t>Niezaliczony</t>
        </is>
      </c>
      <c r="L42" s="7" t="inlineStr">
        <is>
          <t>DEF-011</t>
        </is>
      </c>
      <c r="M42" s="7" t="inlineStr">
        <is>
          <t>B. Wiśniewska</t>
        </is>
      </c>
      <c r="N42" s="7" t="inlineStr">
        <is>
          <t>2026-10-13</t>
        </is>
      </c>
      <c r="O42" s="7" t="inlineStr">
        <is>
          <t>Dodatkowo: 10 biletów przyjęte, 11 odrzucone z komunikatem „…z zakresu 1–6.” – faktyczny limit to 10.</t>
        </is>
      </c>
    </row>
    <row r="43">
      <c r="A43" s="7" t="inlineStr">
        <is>
          <t>TC-CEN-014</t>
        </is>
      </c>
      <c r="B43" s="7" t="inlineStr">
        <is>
          <t>Liczba biletów niecałkowita (2,5)</t>
        </is>
      </c>
      <c r="C43" s="7" t="inlineStr">
        <is>
          <t>REQ-CEN-02</t>
        </is>
      </c>
      <c r="D43" s="7" t="inlineStr">
        <is>
          <t>EP</t>
        </is>
      </c>
      <c r="E43" s="7" t="inlineStr">
        <is>
          <t>Średni</t>
        </is>
      </c>
      <c r="F43" s="7" t="inlineStr">
        <is>
          <t>Otwarta strona Kalkulator (logowanie niewymagane).</t>
        </is>
      </c>
      <c r="G43" s="7" t="inlineStr">
        <is>
          <t>sektor: Płyta
liczba biletów: 2,5
Klub Fana: nie
kod: (pusty)
dostawa: E-bilet</t>
        </is>
      </c>
      <c r="H43" s="7" t="inlineStr">
        <is>
          <t>1. Otwórz stronę Kalkulator.
2. Wybierz sektor, wpisz liczbę biletów, ustaw kartę i kod, wybierz dostawę.
3. Kliknij „Oblicz”.</t>
        </is>
      </c>
      <c r="I43" s="7" t="inlineStr">
        <is>
          <t>Komunikat „Liczba biletów musi być liczbą całkowitą z zakresu 1–6.”; wynik nie jest wyświetlany.</t>
        </is>
      </c>
      <c r="J43" s="7" t="inlineStr">
        <is>
          <t>Wyświetlony komunikat „Liczba biletów musi być liczbą całkowitą z zakresu 1–6.”; wynik nie wyświetlony.</t>
        </is>
      </c>
      <c r="K43" s="7" t="inlineStr">
        <is>
          <t>Zaliczony</t>
        </is>
      </c>
      <c r="L43" s="7" t="n"/>
      <c r="M43" s="7" t="inlineStr">
        <is>
          <t>B. Wiśniewska</t>
        </is>
      </c>
      <c r="N43" s="7" t="inlineStr">
        <is>
          <t>2026-10-13</t>
        </is>
      </c>
      <c r="O43" s="7" t="inlineStr">
        <is>
          <t>Wykonano na BiletTO 1.0.0-rc1</t>
        </is>
      </c>
    </row>
    <row r="44">
      <c r="A44" s="7" t="inlineStr">
        <is>
          <t>TC-CEN-015</t>
        </is>
      </c>
      <c r="B44" s="7" t="inlineStr">
        <is>
          <t>Liczba biletów nieliczbowa (dwa)</t>
        </is>
      </c>
      <c r="C44" s="7" t="inlineStr">
        <is>
          <t>REQ-CEN-02</t>
        </is>
      </c>
      <c r="D44" s="7" t="inlineStr">
        <is>
          <t>EP</t>
        </is>
      </c>
      <c r="E44" s="7" t="inlineStr">
        <is>
          <t>Niski</t>
        </is>
      </c>
      <c r="F44" s="7" t="inlineStr">
        <is>
          <t>Otwarta strona Kalkulator (logowanie niewymagane).</t>
        </is>
      </c>
      <c r="G44" s="7" t="inlineStr">
        <is>
          <t>sektor: Płyta
liczba biletów: dwa
Klub Fana: nie
kod: (pusty)
dostawa: E-bilet</t>
        </is>
      </c>
      <c r="H44" s="7" t="inlineStr">
        <is>
          <t>1. Otwórz stronę Kalkulator.
2. Wybierz sektor, wpisz liczbę biletów, ustaw kartę i kod, wybierz dostawę.
3. Kliknij „Oblicz”.</t>
        </is>
      </c>
      <c r="I44" s="7" t="inlineStr">
        <is>
          <t>Komunikat „Liczba biletów musi być liczbą całkowitą z zakresu 1–6.”; wynik nie jest wyświetlany.</t>
        </is>
      </c>
      <c r="J44" s="7" t="n"/>
      <c r="K44" s="7" t="inlineStr">
        <is>
          <t>Pominięty</t>
        </is>
      </c>
      <c r="L44" s="7" t="n"/>
      <c r="M44" s="7" t="inlineStr">
        <is>
          <t>B. Wiśniewska</t>
        </is>
      </c>
      <c r="N44" s="7" t="inlineStr">
        <is>
          <t>2026-10-13</t>
        </is>
      </c>
      <c r="O44" s="7" t="inlineStr">
        <is>
          <t>Pole „Liczba biletów” ma typ number – przeglądarka nie pozwala wpisać tekstu „dwa”. Walidacja po stronie serwera (REQ-UI-08) do sprawdzenia w testach API (żądanie HTTP z pominięciem formularza).</t>
        </is>
      </c>
    </row>
    <row r="45">
      <c r="A45" s="7" t="inlineStr">
        <is>
          <t>TC-CEN-016</t>
        </is>
      </c>
      <c r="B45" s="7" t="inlineStr">
        <is>
          <t>Zaokrąglenie do grosza (Balkon ×3, karta + kod)</t>
        </is>
      </c>
      <c r="C45" s="7" t="inlineStr">
        <is>
          <t>REQ-CEN-07</t>
        </is>
      </c>
      <c r="D45" s="7" t="inlineStr">
        <is>
          <t>Doświadczenie</t>
        </is>
      </c>
      <c r="E45" s="7" t="inlineStr">
        <is>
          <t>Średni</t>
        </is>
      </c>
      <c r="F45" s="7" t="inlineStr">
        <is>
          <t>Otwarta strona Kalkulator (logowanie niewymagane).</t>
        </is>
      </c>
      <c r="G45" s="7" t="inlineStr">
        <is>
          <t>sektor: Balkon
liczba biletów: 3
Klub Fana: tak
kod: „FAN2026”
dostawa: E-bilet</t>
        </is>
      </c>
      <c r="H45" s="7" t="inlineStr">
        <is>
          <t>1. Otwórz stronę Kalkulator.
2. Wybierz sektor, wpisz liczbę biletów, ustaw kartę i kod, wybierz dostawę.
3. Kliknij „Oblicz”.</t>
        </is>
      </c>
      <c r="I45" s="7" t="inlineStr">
        <is>
          <t>Wartość biletów: 299.97 zł; rabat: 15%; opłata serwisowa: 6.00 zł; dostawa: 0.00 zł; do zapłaty: 260.97 zł.</t>
        </is>
      </c>
      <c r="J45" s="7" t="inlineStr">
        <is>
          <t>rc1: rabat 20%, do zapłaty 245.98 zł (DEF-009). Retest rc2: wartość biletów 299.97 zł; rabat 15%; opłata serwisowa 6.00 zł; dostawa 0.00 zł; do zapłaty 260.97 zł.</t>
        </is>
      </c>
      <c r="K45" s="7" t="inlineStr">
        <is>
          <t>Zaliczony</t>
        </is>
      </c>
      <c r="L45" s="7" t="inlineStr">
        <is>
          <t>DEF-009</t>
        </is>
      </c>
      <c r="M45" s="7" t="inlineStr">
        <is>
          <t>B. Wiśniewska</t>
        </is>
      </c>
      <c r="N45" s="7" t="inlineStr">
        <is>
          <t>2026-10-15</t>
        </is>
      </c>
      <c r="O45" s="7" t="inlineStr">
        <is>
          <t>Niezaliczony w rc1 – retest po naprawie DEF-009 zaliczony.</t>
        </is>
      </c>
    </row>
    <row r="46">
      <c r="A46" s="7" t="inlineStr">
        <is>
          <t>TC-CEN-017</t>
        </is>
      </c>
      <c r="B46" s="7" t="inlineStr">
        <is>
          <t>Wartości domyślne formularza i zachowanie danych</t>
        </is>
      </c>
      <c r="C46" s="7" t="inlineStr">
        <is>
          <t>REQ-CEN-01, REQ-CEN-08</t>
        </is>
      </c>
      <c r="D46" s="7" t="inlineStr">
        <is>
          <t>Na podstawie wymagania</t>
        </is>
      </c>
      <c r="E46" s="7" t="inlineStr">
        <is>
          <t>Średni</t>
        </is>
      </c>
      <c r="F46" s="7" t="inlineStr">
        <is>
          <t>Otwarta strona Kalkulator (logowanie niewymagane).</t>
        </is>
      </c>
      <c r="G46" s="7" t="inlineStr">
        <is>
          <t>brak – pozostaw wartości domyślne formularza</t>
        </is>
      </c>
      <c r="H46" s="7" t="inlineStr">
        <is>
          <t>1. Otwórz stronę Kalkulator.
2. Sprawdź wartości domyślne pól.
3. Bez zmian kliknij „Oblicz”.
4. Sprawdź wynik i zawartość formularza.</t>
        </is>
      </c>
      <c r="I46" s="7" t="inlineStr">
        <is>
          <t>Krok 2: sektor „Płyta”, liczba biletów 1, karta niezaznaczona, kod pusty, dostawa „E-bilet”. Krok 4: Wartość biletów: 250.00 zł; rabat: 0%; opłata serwisowa: 2.00 zł; dostawa: 0.00 zł; do zapłaty: 252.00 zł. Kwoty w formacie „0.00 zł”; formularz zachowuje wybrane wartości.</t>
        </is>
      </c>
      <c r="J46" s="7" t="inlineStr">
        <is>
          <t>Krok 2: sektor „Płyta”, liczba biletów 1, karta niezaznaczona, kod pusty, dostawa „E-bilet”. Krok 4: Wartość biletów: 250.00 zł; rabat: 0%; opłata serwisowa: 2.00 zł; dostawa: 0.00 zł; do zapłaty: 252.00 zł. Kwoty w formacie „0.00 zł”; formularz zachowuje wybrane wartości.</t>
        </is>
      </c>
      <c r="K46" s="7" t="inlineStr">
        <is>
          <t>Zaliczony</t>
        </is>
      </c>
      <c r="L46" s="7" t="n"/>
      <c r="M46" s="7" t="inlineStr">
        <is>
          <t>B. Wiśniewska</t>
        </is>
      </c>
      <c r="N46" s="7" t="inlineStr">
        <is>
          <t>2026-10-13</t>
        </is>
      </c>
      <c r="O46" s="7" t="inlineStr">
        <is>
          <t>Wykonano na BiletTO 1.0.0-rc1</t>
        </is>
      </c>
    </row>
    <row r="47">
      <c r="A47" s="7" t="inlineStr">
        <is>
          <t>TC-CEN-018</t>
        </is>
      </c>
      <c r="B47" s="7" t="inlineStr">
        <is>
          <t>Zaokrąglenie połówki grosza (Balkon ×5, kod)</t>
        </is>
      </c>
      <c r="C47" s="7" t="inlineStr">
        <is>
          <t>REQ-CEN-07</t>
        </is>
      </c>
      <c r="D47" s="7" t="inlineStr">
        <is>
          <t>Doświadczenie</t>
        </is>
      </c>
      <c r="E47" s="7" t="inlineStr">
        <is>
          <t>Niski</t>
        </is>
      </c>
      <c r="F47" s="7" t="inlineStr">
        <is>
          <t>Otwarta strona Kalkulator (logowanie niewymagane).</t>
        </is>
      </c>
      <c r="G47" s="7" t="inlineStr">
        <is>
          <t>sektor: Balkon
liczba biletów: 5
Klub Fana: nie
kod: „FAN2026”
dostawa: E-bilet</t>
        </is>
      </c>
      <c r="H47" s="7" t="inlineStr">
        <is>
          <t>1. Otwórz stronę Kalkulator.
2. Wybierz sektor, wpisz liczbę biletów, ustaw kartę i kod, wybierz dostawę.
3. Kliknij „Oblicz”.</t>
        </is>
      </c>
      <c r="I47" s="7" t="inlineStr">
        <is>
          <t>Wartość biletów: 499.95 zł; rabat: 10%; opłata serwisowa: 10.00 zł; dostawa: 0.00 zł; do zapłaty: 459.96 zł.</t>
        </is>
      </c>
      <c r="J47" s="7" t="inlineStr">
        <is>
          <t>Wartość biletów: 499.95 zł; rabat: 10%; opłata serwisowa: 10.00 zł; dostawa: 0.00 zł; do zapłaty: 459.95 zł (kwota po rabacie 449.95 zł).</t>
        </is>
      </c>
      <c r="K47" s="7" t="inlineStr">
        <is>
          <t>Zablokowany</t>
        </is>
      </c>
      <c r="L47" s="7" t="n"/>
      <c r="M47" s="7" t="inlineStr">
        <is>
          <t>B. Wiśniewska</t>
        </is>
      </c>
      <c r="N47" s="7" t="inlineStr">
        <is>
          <t>2026-10-13</t>
        </is>
      </c>
      <c r="O47" s="7" t="inlineStr">
        <is>
          <t>Brak wyroczni: specyfikacja nie określa metody zaokrąglania (README, niejasność 8). Wynik 449.95 wskazuje na obcięcie lub błąd arytmetyki zmiennoprzecinkowej. Pytanie Q-01 do właściciela produktu; defekt zgłosimy po decyzji.</t>
        </is>
      </c>
    </row>
  </sheetData>
  <autoFilter ref="A1:O1"/>
  <dataValidations count="3">
    <dataValidation sqref="D2:D300" showDropDown="0" showInputMessage="1" showErrorMessage="1" allowBlank="1" errorTitle="Technika" error="Wybierz wartość z listy rozwijanej." promptTitle="Technika" prompt="Wybierz z listy" type="list">
      <formula1>"EP,AWB,Tablica decyzyjna,Przejścia stanów,Przypadki użycia,Doświadczenie,Lista kontrolna,Na podstawie wymagania"</formula1>
    </dataValidation>
    <dataValidation sqref="E2:E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  <dataValidation sqref="K2:K300" showDropDown="0" showInputMessage="1" showErrorMessage="1" allowBlank="1" errorTitle="Status" error="Wybierz wartość z listy rozwijanej." promptTitle="Status" prompt="Wybierz z listy" type="list">
      <formula1>"Nie wykonano,Zaliczony,Niezaliczony,Zablokowany,Pominięty"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34" customWidth="1" min="4" max="4"/>
    <col width="11" customWidth="1" min="5" max="5"/>
    <col width="10" customWidth="1" min="6" max="6"/>
    <col width="11" customWidth="1" min="7" max="7"/>
    <col width="12" customWidth="1" min="8" max="8"/>
    <col width="36" customWidth="1" min="9" max="9"/>
  </cols>
  <sheetData>
    <row r="1" ht="32" customHeight="1">
      <c r="A1" s="6" t="inlineStr">
        <is>
          <t>ID wymagania</t>
        </is>
      </c>
      <c r="B1" s="6" t="inlineStr">
        <is>
          <t>Wymaganie (skrót)</t>
        </is>
      </c>
      <c r="C1" s="6" t="inlineStr">
        <is>
          <t>Priorytet</t>
        </is>
      </c>
      <c r="D1" s="6" t="inlineStr">
        <is>
          <t>Przypadki testowe (ID)</t>
        </is>
      </c>
      <c r="E1" s="6" t="inlineStr">
        <is>
          <t>Liczba przypadków</t>
        </is>
      </c>
      <c r="F1" s="6" t="inlineStr">
        <is>
          <t>Zaliczone</t>
        </is>
      </c>
      <c r="G1" s="6" t="inlineStr">
        <is>
          <t>Niezaliczone</t>
        </is>
      </c>
      <c r="H1" s="6" t="inlineStr">
        <is>
          <t>Pokrycie</t>
        </is>
      </c>
      <c r="I1" s="6" t="inlineStr">
        <is>
          <t>Uwagi</t>
        </is>
      </c>
    </row>
    <row r="2">
      <c r="A2" s="7" t="inlineStr">
        <is>
          <t>REQ-UI-01</t>
        </is>
      </c>
      <c r="B2" s="7" t="inlineStr">
        <is>
          <t>Każda strona zawiera menu z odnośnikami: Start, Repertuar, Rejestracja, Kalkulator, Moje bilety…</t>
        </is>
      </c>
      <c r="C2" s="7" t="inlineStr">
        <is>
          <t>Średni</t>
        </is>
      </c>
      <c r="D2" s="7" t="n"/>
      <c r="E2" s="7">
        <f>IF(A2="","",COUNTIF('Przypadki testowe'!$C$2:$C$300,"*"&amp;A2&amp;"*"))</f>
        <v/>
      </c>
      <c r="F2" s="7">
        <f>IF(A2="","",COUNTIFS('Przypadki testowe'!$C$2:$C$300,"*"&amp;A2&amp;"*",'Przypadki testowe'!$K$2:$K$300,"Zaliczony"))</f>
        <v/>
      </c>
      <c r="G2" s="7">
        <f>IF(A2="","",COUNTIFS('Przypadki testowe'!$C$2:$C$300,"*"&amp;A2&amp;"*",'Przypadki testowe'!$K$2:$K$300,"Niezaliczony"))</f>
        <v/>
      </c>
      <c r="H2" s="7">
        <f>IF(A2="","",IF(E2&gt;0,"Pokryte","BRAK"))</f>
        <v/>
      </c>
      <c r="I2" s="7" t="inlineStr">
        <is>
          <t>Poza zakresem ćw. 1 – przypadki na kolejnych zajęciach</t>
        </is>
      </c>
    </row>
    <row r="3">
      <c r="A3" s="7" t="inlineStr">
        <is>
          <t>REQ-UI-02</t>
        </is>
      </c>
      <c r="B3" s="7" t="inlineStr">
        <is>
          <t>Każda strona ma niepusty, opisowy tytuł (element ) w postaci „BiletTO – &lt;nazwa strony&gt;”, np. „B…</t>
        </is>
      </c>
      <c r="C3" s="7" t="inlineStr">
        <is>
          <t>Średni</t>
        </is>
      </c>
      <c r="D3" s="7" t="n"/>
      <c r="E3" s="7">
        <f>IF(A3="","",COUNTIF('Przypadki testowe'!$C$2:$C$300,"*"&amp;A3&amp;"*"))</f>
        <v/>
      </c>
      <c r="F3" s="7">
        <f>IF(A3="","",COUNTIFS('Przypadki testowe'!$C$2:$C$300,"*"&amp;A3&amp;"*",'Przypadki testowe'!$K$2:$K$300,"Zaliczony"))</f>
        <v/>
      </c>
      <c r="G3" s="7">
        <f>IF(A3="","",COUNTIFS('Przypadki testowe'!$C$2:$C$300,"*"&amp;A3&amp;"*",'Przypadki testowe'!$K$2:$K$300,"Niezaliczony"))</f>
        <v/>
      </c>
      <c r="H3" s="7">
        <f>IF(A3="","",IF(E3&gt;0,"Pokryte","BRAK"))</f>
        <v/>
      </c>
      <c r="I3" s="7" t="inlineStr">
        <is>
          <t>Poza zakresem ćw. 1 – przypadki na kolejnych zajęciach</t>
        </is>
      </c>
    </row>
    <row r="4">
      <c r="A4" s="7" t="inlineStr">
        <is>
          <t>REQ-UI-03</t>
        </is>
      </c>
      <c r="B4" s="7" t="inlineStr">
        <is>
          <t>Każdy obrazek (w tym plakaty koncertów) ma niepusty tekst alternatywny (atrybut alt).</t>
        </is>
      </c>
      <c r="C4" s="7" t="inlineStr">
        <is>
          <t>Średni</t>
        </is>
      </c>
      <c r="D4" s="7" t="n"/>
      <c r="E4" s="7">
        <f>IF(A4="","",COUNTIF('Przypadki testowe'!$C$2:$C$300,"*"&amp;A4&amp;"*"))</f>
        <v/>
      </c>
      <c r="F4" s="7">
        <f>IF(A4="","",COUNTIFS('Przypadki testowe'!$C$2:$C$300,"*"&amp;A4&amp;"*",'Przypadki testowe'!$K$2:$K$300,"Zaliczony"))</f>
        <v/>
      </c>
      <c r="G4" s="7">
        <f>IF(A4="","",COUNTIFS('Przypadki testowe'!$C$2:$C$300,"*"&amp;A4&amp;"*",'Przypadki testowe'!$K$2:$K$300,"Niezaliczony"))</f>
        <v/>
      </c>
      <c r="H4" s="7">
        <f>IF(A4="","",IF(E4&gt;0,"Pokryte","BRAK"))</f>
        <v/>
      </c>
      <c r="I4" s="7" t="inlineStr">
        <is>
          <t>Poza zakresem ćw. 1 – przypadki na kolejnych zajęciach</t>
        </is>
      </c>
    </row>
    <row r="5">
      <c r="A5" s="7" t="inlineStr">
        <is>
          <t>REQ-UI-04</t>
        </is>
      </c>
      <c r="B5" s="7" t="inlineStr">
        <is>
          <t>Każde widoczne pole formularza ma etykietę powiązaną z polem ().</t>
        </is>
      </c>
      <c r="C5" s="7" t="inlineStr">
        <is>
          <t>Średni</t>
        </is>
      </c>
      <c r="D5" s="7" t="n"/>
      <c r="E5" s="7">
        <f>IF(A5="","",COUNTIF('Przypadki testowe'!$C$2:$C$300,"*"&amp;A5&amp;"*"))</f>
        <v/>
      </c>
      <c r="F5" s="7">
        <f>IF(A5="","",COUNTIFS('Przypadki testowe'!$C$2:$C$300,"*"&amp;A5&amp;"*",'Przypadki testowe'!$K$2:$K$300,"Zaliczony"))</f>
        <v/>
      </c>
      <c r="G5" s="7">
        <f>IF(A5="","",COUNTIFS('Przypadki testowe'!$C$2:$C$300,"*"&amp;A5&amp;"*",'Przypadki testowe'!$K$2:$K$300,"Niezaliczony"))</f>
        <v/>
      </c>
      <c r="H5" s="7">
        <f>IF(A5="","",IF(E5&gt;0,"Pokryte","BRAK"))</f>
        <v/>
      </c>
      <c r="I5" s="7" t="inlineStr">
        <is>
          <t>Poza zakresem ćw. 1 – przypadki na kolejnych zajęciach</t>
        </is>
      </c>
    </row>
    <row r="6">
      <c r="A6" s="7" t="inlineStr">
        <is>
          <t>REQ-UI-05</t>
        </is>
      </c>
      <c r="B6" s="7" t="inlineStr">
        <is>
          <t>Pole adresu e-mail w każdym formularzu ma typ email.</t>
        </is>
      </c>
      <c r="C6" s="7" t="inlineStr">
        <is>
          <t>Średni</t>
        </is>
      </c>
      <c r="D6" s="7" t="n"/>
      <c r="E6" s="7">
        <f>IF(A6="","",COUNTIF('Przypadki testowe'!$C$2:$C$300,"*"&amp;A6&amp;"*"))</f>
        <v/>
      </c>
      <c r="F6" s="7">
        <f>IF(A6="","",COUNTIFS('Przypadki testowe'!$C$2:$C$300,"*"&amp;A6&amp;"*",'Przypadki testowe'!$K$2:$K$300,"Zaliczony"))</f>
        <v/>
      </c>
      <c r="G6" s="7">
        <f>IF(A6="","",COUNTIFS('Przypadki testowe'!$C$2:$C$300,"*"&amp;A6&amp;"*",'Przypadki testowe'!$K$2:$K$300,"Niezaliczony"))</f>
        <v/>
      </c>
      <c r="H6" s="7">
        <f>IF(A6="","",IF(E6&gt;0,"Pokryte","BRAK"))</f>
        <v/>
      </c>
      <c r="I6" s="7" t="inlineStr">
        <is>
          <t>Poza zakresem ćw. 1 – przypadki na kolejnych zajęciach</t>
        </is>
      </c>
    </row>
    <row r="7">
      <c r="A7" s="7" t="inlineStr">
        <is>
          <t>REQ-UI-06</t>
        </is>
      </c>
      <c r="B7" s="7" t="inlineStr">
        <is>
          <t>Komunikaty o wyniku operacji zakończonej przekierowaniem (logowanie, wylogowanie, operacje na z…</t>
        </is>
      </c>
      <c r="C7" s="7" t="inlineStr">
        <is>
          <t>Średni</t>
        </is>
      </c>
      <c r="D7" s="7" t="n"/>
      <c r="E7" s="7">
        <f>IF(A7="","",COUNTIF('Przypadki testowe'!$C$2:$C$300,"*"&amp;A7&amp;"*"))</f>
        <v/>
      </c>
      <c r="F7" s="7">
        <f>IF(A7="","",COUNTIFS('Przypadki testowe'!$C$2:$C$300,"*"&amp;A7&amp;"*",'Przypadki testowe'!$K$2:$K$300,"Zaliczony"))</f>
        <v/>
      </c>
      <c r="G7" s="7">
        <f>IF(A7="","",COUNTIFS('Przypadki testowe'!$C$2:$C$300,"*"&amp;A7&amp;"*",'Przypadki testowe'!$K$2:$K$300,"Niezaliczony"))</f>
        <v/>
      </c>
      <c r="H7" s="7">
        <f>IF(A7="","",IF(E7&gt;0,"Pokryte","BRAK"))</f>
        <v/>
      </c>
      <c r="I7" s="7" t="inlineStr">
        <is>
          <t>Poza zakresem ćw. 1 – przypadki na kolejnych zajęciach</t>
        </is>
      </c>
    </row>
    <row r="8">
      <c r="A8" s="7" t="inlineStr">
        <is>
          <t>REQ-UI-07</t>
        </is>
      </c>
      <c r="B8" s="7" t="inlineStr">
        <is>
          <t>Serwis działa w języku polskim; polskie znaki są wyświetlane poprawnie (UTF-8). Stopka każdej s…</t>
        </is>
      </c>
      <c r="C8" s="7" t="inlineStr">
        <is>
          <t>Średni</t>
        </is>
      </c>
      <c r="D8" s="7" t="n"/>
      <c r="E8" s="7">
        <f>IF(A8="","",COUNTIF('Przypadki testowe'!$C$2:$C$300,"*"&amp;A8&amp;"*"))</f>
        <v/>
      </c>
      <c r="F8" s="7">
        <f>IF(A8="","",COUNTIFS('Przypadki testowe'!$C$2:$C$300,"*"&amp;A8&amp;"*",'Przypadki testowe'!$K$2:$K$300,"Zaliczony"))</f>
        <v/>
      </c>
      <c r="G8" s="7">
        <f>IF(A8="","",COUNTIFS('Przypadki testowe'!$C$2:$C$300,"*"&amp;A8&amp;"*",'Przypadki testowe'!$K$2:$K$300,"Niezaliczony"))</f>
        <v/>
      </c>
      <c r="H8" s="7">
        <f>IF(A8="","",IF(E8&gt;0,"Pokryte","BRAK"))</f>
        <v/>
      </c>
      <c r="I8" s="7" t="inlineStr">
        <is>
          <t>Poza zakresem ćw. 1 – przypadki na kolejnych zajęciach</t>
        </is>
      </c>
    </row>
    <row r="9">
      <c r="A9" s="7" t="inlineStr">
        <is>
          <t>REQ-UI-08</t>
        </is>
      </c>
      <c r="B9" s="7" t="inlineStr">
        <is>
          <t>Wszystkie dane wejściowe są sprawdzane po stronie serwera (niezależnie od walidacji w przegląda…</t>
        </is>
      </c>
      <c r="C9" s="7" t="inlineStr">
        <is>
          <t>Średni</t>
        </is>
      </c>
      <c r="D9" s="7" t="n"/>
      <c r="E9" s="7">
        <f>IF(A9="","",COUNTIF('Przypadki testowe'!$C$2:$C$300,"*"&amp;A9&amp;"*"))</f>
        <v/>
      </c>
      <c r="F9" s="7">
        <f>IF(A9="","",COUNTIFS('Przypadki testowe'!$C$2:$C$300,"*"&amp;A9&amp;"*",'Przypadki testowe'!$K$2:$K$300,"Zaliczony"))</f>
        <v/>
      </c>
      <c r="G9" s="7">
        <f>IF(A9="","",COUNTIFS('Przypadki testowe'!$C$2:$C$300,"*"&amp;A9&amp;"*",'Przypadki testowe'!$K$2:$K$300,"Niezaliczony"))</f>
        <v/>
      </c>
      <c r="H9" s="7">
        <f>IF(A9="","",IF(E9&gt;0,"Pokryte","BRAK"))</f>
        <v/>
      </c>
      <c r="I9" s="7" t="inlineStr">
        <is>
          <t>Poza zakresem ćw. 1 – przypadki na kolejnych zajęciach</t>
        </is>
      </c>
    </row>
    <row r="10">
      <c r="A10" s="7" t="inlineStr">
        <is>
          <t>REQ-UI-09</t>
        </is>
      </c>
      <c r="B10" s="7" t="inlineStr">
        <is>
          <t>Otwarcie adresu install.php?reset=1 (lub odnośnika „Przywróć dane początkowe” w panelu administ…</t>
        </is>
      </c>
      <c r="C10" s="7" t="inlineStr">
        <is>
          <t>Średni</t>
        </is>
      </c>
      <c r="D10" s="7" t="n"/>
      <c r="E10" s="7">
        <f>IF(A10="","",COUNTIF('Przypadki testowe'!$C$2:$C$300,"*"&amp;A10&amp;"*"))</f>
        <v/>
      </c>
      <c r="F10" s="7">
        <f>IF(A10="","",COUNTIFS('Przypadki testowe'!$C$2:$C$300,"*"&amp;A10&amp;"*",'Przypadki testowe'!$K$2:$K$300,"Zaliczony"))</f>
        <v/>
      </c>
      <c r="G10" s="7">
        <f>IF(A10="","",COUNTIFS('Przypadki testowe'!$C$2:$C$300,"*"&amp;A10&amp;"*",'Przypadki testowe'!$K$2:$K$300,"Niezaliczony"))</f>
        <v/>
      </c>
      <c r="H10" s="7">
        <f>IF(A10="","",IF(E10&gt;0,"Pokryte","BRAK"))</f>
        <v/>
      </c>
      <c r="I10" s="7" t="inlineStr">
        <is>
          <t>Poza zakresem ćw. 1 – przypadki na kolejnych zajęciach</t>
        </is>
      </c>
    </row>
    <row r="11">
      <c r="A11" s="7" t="inlineStr">
        <is>
          <t>REQ-REJ-01</t>
        </is>
      </c>
      <c r="B11" s="7" t="inlineStr">
        <is>
          <t>Formularz rejestracji zawiera pola: Login, E-mail, Telefon (opcjonalnie), Wiek, Hasło, Powtórz…</t>
        </is>
      </c>
      <c r="C11" s="7" t="inlineStr">
        <is>
          <t>Średni</t>
        </is>
      </c>
      <c r="D11" s="7" t="n"/>
      <c r="E11" s="7">
        <f>IF(A11="","",COUNTIF('Przypadki testowe'!$C$2:$C$300,"*"&amp;A11&amp;"*"))</f>
        <v/>
      </c>
      <c r="F11" s="7">
        <f>IF(A11="","",COUNTIFS('Przypadki testowe'!$C$2:$C$300,"*"&amp;A11&amp;"*",'Przypadki testowe'!$K$2:$K$300,"Zaliczony"))</f>
        <v/>
      </c>
      <c r="G11" s="7">
        <f>IF(A11="","",COUNTIFS('Przypadki testowe'!$C$2:$C$300,"*"&amp;A11&amp;"*",'Przypadki testowe'!$K$2:$K$300,"Niezaliczony"))</f>
        <v/>
      </c>
      <c r="H11" s="7">
        <f>IF(A11="","",IF(E11&gt;0,"Pokryte","BRAK"))</f>
        <v/>
      </c>
      <c r="I11" s="7" t="inlineStr">
        <is>
          <t>Weryfikacja przy przeglądzie formularza (test statyczny) / po uruchomieniu BiletTO</t>
        </is>
      </c>
    </row>
    <row r="12">
      <c r="A12" s="7" t="inlineStr">
        <is>
          <t>REQ-REJ-02</t>
        </is>
      </c>
      <c r="B12" s="7" t="inlineStr">
        <is>
          <t>Login musi mieć od 4 do 16 znaków, zaczynać się od małej litery łacińskiej i składać się wyłącz…</t>
        </is>
      </c>
      <c r="C12" s="7" t="inlineStr">
        <is>
          <t>Wysoki</t>
        </is>
      </c>
      <c r="D12" s="7" t="inlineStr">
        <is>
          <t>TC-REJ-003, TC-REJ-004, TC-REJ-005, TC-REJ-006, TC-REJ-007, TC-REJ-008, TC-REJ-009</t>
        </is>
      </c>
      <c r="E12" s="7">
        <f>IF(A12="","",COUNTIF('Przypadki testowe'!$C$2:$C$300,"*"&amp;A12&amp;"*"))</f>
        <v/>
      </c>
      <c r="F12" s="7">
        <f>IF(A12="","",COUNTIFS('Przypadki testowe'!$C$2:$C$300,"*"&amp;A12&amp;"*",'Przypadki testowe'!$K$2:$K$300,"Zaliczony"))</f>
        <v/>
      </c>
      <c r="G12" s="7">
        <f>IF(A12="","",COUNTIFS('Przypadki testowe'!$C$2:$C$300,"*"&amp;A12&amp;"*",'Przypadki testowe'!$K$2:$K$300,"Niezaliczony"))</f>
        <v/>
      </c>
      <c r="H12" s="7">
        <f>IF(A12="","",IF(E12&gt;0,"Pokryte","BRAK"))</f>
        <v/>
      </c>
      <c r="I12" s="7" t="inlineStr">
        <is>
          <t>DEF-008 (wielka litera akceptowana)</t>
        </is>
      </c>
    </row>
    <row r="13">
      <c r="A13" s="7" t="inlineStr">
        <is>
          <t>REQ-REJ-03</t>
        </is>
      </c>
      <c r="B13" s="7" t="inlineStr">
        <is>
          <t>Login musi być unikalny. Jeśli konto o takim loginie istnieje, komunikat: „Login jest już zajęt…</t>
        </is>
      </c>
      <c r="C13" s="7" t="inlineStr">
        <is>
          <t>Wysoki</t>
        </is>
      </c>
      <c r="D13" s="7" t="inlineStr">
        <is>
          <t>TC-REJ-010</t>
        </is>
      </c>
      <c r="E13" s="7">
        <f>IF(A13="","",COUNTIF('Przypadki testowe'!$C$2:$C$300,"*"&amp;A13&amp;"*"))</f>
        <v/>
      </c>
      <c r="F13" s="7">
        <f>IF(A13="","",COUNTIFS('Przypadki testowe'!$C$2:$C$300,"*"&amp;A13&amp;"*",'Przypadki testowe'!$K$2:$K$300,"Zaliczony"))</f>
        <v/>
      </c>
      <c r="G13" s="7">
        <f>IF(A13="","",COUNTIFS('Przypadki testowe'!$C$2:$C$300,"*"&amp;A13&amp;"*",'Przypadki testowe'!$K$2:$K$300,"Niezaliczony"))</f>
        <v/>
      </c>
      <c r="H13" s="7">
        <f>IF(A13="","",IF(E13&gt;0,"Pokryte","BRAK"))</f>
        <v/>
      </c>
      <c r="I13" s="7" t="n"/>
    </row>
    <row r="14">
      <c r="A14" s="7" t="inlineStr">
        <is>
          <t>REQ-REJ-04</t>
        </is>
      </c>
      <c r="B14" s="7" t="inlineStr">
        <is>
          <t>E-mail musi być poprawnym adresem e-mail. W przeciwnym razie komunikat: „Niepoprawny adres e-ma…</t>
        </is>
      </c>
      <c r="C14" s="7" t="inlineStr">
        <is>
          <t>Wysoki</t>
        </is>
      </c>
      <c r="D14" s="7" t="inlineStr">
        <is>
          <t>TC-REJ-011</t>
        </is>
      </c>
      <c r="E14" s="7">
        <f>IF(A14="","",COUNTIF('Przypadki testowe'!$C$2:$C$300,"*"&amp;A14&amp;"*"))</f>
        <v/>
      </c>
      <c r="F14" s="7">
        <f>IF(A14="","",COUNTIFS('Przypadki testowe'!$C$2:$C$300,"*"&amp;A14&amp;"*",'Przypadki testowe'!$K$2:$K$300,"Zaliczony"))</f>
        <v/>
      </c>
      <c r="G14" s="7">
        <f>IF(A14="","",COUNTIFS('Przypadki testowe'!$C$2:$C$300,"*"&amp;A14&amp;"*",'Przypadki testowe'!$K$2:$K$300,"Niezaliczony"))</f>
        <v/>
      </c>
      <c r="H14" s="7">
        <f>IF(A14="","",IF(E14&gt;0,"Pokryte","BRAK"))</f>
        <v/>
      </c>
      <c r="I14" s="7" t="n"/>
    </row>
    <row r="15">
      <c r="A15" s="7" t="inlineStr">
        <is>
          <t>REQ-REJ-05</t>
        </is>
      </c>
      <c r="B15" s="7" t="inlineStr">
        <is>
          <t>Telefon jest opcjonalny (na ten numer wysyłane są SMS-y z biletami). Jeśli pole nie jest puste,…</t>
        </is>
      </c>
      <c r="C15" s="7" t="inlineStr">
        <is>
          <t>Wysoki</t>
        </is>
      </c>
      <c r="D15" s="7" t="inlineStr">
        <is>
          <t>TC-REJ-001, TC-REJ-002, TC-REJ-012, TC-REJ-013, TC-REJ-014</t>
        </is>
      </c>
      <c r="E15" s="7">
        <f>IF(A15="","",COUNTIF('Przypadki testowe'!$C$2:$C$300,"*"&amp;A15&amp;"*"))</f>
        <v/>
      </c>
      <c r="F15" s="7">
        <f>IF(A15="","",COUNTIFS('Przypadki testowe'!$C$2:$C$300,"*"&amp;A15&amp;"*",'Przypadki testowe'!$K$2:$K$300,"Zaliczony"))</f>
        <v/>
      </c>
      <c r="G15" s="7">
        <f>IF(A15="","",COUNTIFS('Przypadki testowe'!$C$2:$C$300,"*"&amp;A15&amp;"*",'Przypadki testowe'!$K$2:$K$300,"Niezaliczony"))</f>
        <v/>
      </c>
      <c r="H15" s="7">
        <f>IF(A15="","",IF(E15&gt;0,"Pokryte","BRAK"))</f>
        <v/>
      </c>
      <c r="I15" s="7" t="inlineStr">
        <is>
          <t>DEF-012 odrzucony – zmiana wymagania w v1.1</t>
        </is>
      </c>
    </row>
    <row r="16">
      <c r="A16" s="7" t="inlineStr">
        <is>
          <t>REQ-REJ-06</t>
        </is>
      </c>
      <c r="B16" s="7" t="inlineStr">
        <is>
          <t>Wiek musi być liczbą całkowitą z zakresu 16–99 (włącznie). W przeciwnym razie komunikat: „Wiek…</t>
        </is>
      </c>
      <c r="C16" s="7" t="inlineStr">
        <is>
          <t>Wysoki</t>
        </is>
      </c>
      <c r="D16" s="7" t="inlineStr">
        <is>
          <t>TC-REJ-015, TC-REJ-016, TC-REJ-017, TC-REJ-018, TC-REJ-019</t>
        </is>
      </c>
      <c r="E16" s="7">
        <f>IF(A16="","",COUNTIF('Przypadki testowe'!$C$2:$C$300,"*"&amp;A16&amp;"*"))</f>
        <v/>
      </c>
      <c r="F16" s="7">
        <f>IF(A16="","",COUNTIFS('Przypadki testowe'!$C$2:$C$300,"*"&amp;A16&amp;"*",'Przypadki testowe'!$K$2:$K$300,"Zaliczony"))</f>
        <v/>
      </c>
      <c r="G16" s="7">
        <f>IF(A16="","",COUNTIFS('Przypadki testowe'!$C$2:$C$300,"*"&amp;A16&amp;"*",'Przypadki testowe'!$K$2:$K$300,"Niezaliczony"))</f>
        <v/>
      </c>
      <c r="H16" s="7">
        <f>IF(A16="","",IF(E16&gt;0,"Pokryte","BRAK"))</f>
        <v/>
      </c>
      <c r="I16" s="7" t="inlineStr">
        <is>
          <t>DEF-007 (wiek 15 akceptowany)</t>
        </is>
      </c>
    </row>
    <row r="17">
      <c r="A17" s="7" t="inlineStr">
        <is>
          <t>REQ-REJ-07</t>
        </is>
      </c>
      <c r="B17" s="7" t="inlineStr">
        <is>
          <t>Hasło musi mieć od 8 do 24 znaków (włącznie) i zawierać co najmniej jedną literę oraz co najmni…</t>
        </is>
      </c>
      <c r="C17" s="7" t="inlineStr">
        <is>
          <t>Wysoki</t>
        </is>
      </c>
      <c r="D17" s="7" t="inlineStr">
        <is>
          <t>TC-REJ-020, TC-REJ-021, TC-REJ-022, TC-REJ-023, TC-REJ-024, TC-REJ-025</t>
        </is>
      </c>
      <c r="E17" s="7">
        <f>IF(A17="","",COUNTIF('Przypadki testowe'!$C$2:$C$300,"*"&amp;A17&amp;"*"))</f>
        <v/>
      </c>
      <c r="F17" s="7">
        <f>IF(A17="","",COUNTIFS('Przypadki testowe'!$C$2:$C$300,"*"&amp;A17&amp;"*",'Przypadki testowe'!$K$2:$K$300,"Zaliczony"))</f>
        <v/>
      </c>
      <c r="G17" s="7">
        <f>IF(A17="","",COUNTIFS('Przypadki testowe'!$C$2:$C$300,"*"&amp;A17&amp;"*",'Przypadki testowe'!$K$2:$K$300,"Niezaliczony"))</f>
        <v/>
      </c>
      <c r="H17" s="7">
        <f>IF(A17="","",IF(E17&gt;0,"Pokryte","BRAK"))</f>
        <v/>
      </c>
      <c r="I17" s="7" t="n"/>
    </row>
    <row r="18">
      <c r="A18" s="7" t="inlineStr">
        <is>
          <t>REQ-REJ-08</t>
        </is>
      </c>
      <c r="B18" s="7" t="inlineStr">
        <is>
          <t>Pole „Powtórz hasło” musi być identyczne z polem „Hasło”. W przeciwnym razie komunikat: „Hasła…</t>
        </is>
      </c>
      <c r="C18" s="7" t="inlineStr">
        <is>
          <t>Wysoki</t>
        </is>
      </c>
      <c r="D18" s="7" t="inlineStr">
        <is>
          <t>TC-REJ-026</t>
        </is>
      </c>
      <c r="E18" s="7">
        <f>IF(A18="","",COUNTIF('Przypadki testowe'!$C$2:$C$300,"*"&amp;A18&amp;"*"))</f>
        <v/>
      </c>
      <c r="F18" s="7">
        <f>IF(A18="","",COUNTIFS('Przypadki testowe'!$C$2:$C$300,"*"&amp;A18&amp;"*",'Przypadki testowe'!$K$2:$K$300,"Zaliczony"))</f>
        <v/>
      </c>
      <c r="G18" s="7">
        <f>IF(A18="","",COUNTIFS('Przypadki testowe'!$C$2:$C$300,"*"&amp;A18&amp;"*",'Przypadki testowe'!$K$2:$K$300,"Niezaliczony"))</f>
        <v/>
      </c>
      <c r="H18" s="7">
        <f>IF(A18="","",IF(E18&gt;0,"Pokryte","BRAK"))</f>
        <v/>
      </c>
      <c r="I18" s="7" t="n"/>
    </row>
    <row r="19">
      <c r="A19" s="7" t="inlineStr">
        <is>
          <t>REQ-REJ-09</t>
        </is>
      </c>
      <c r="B19" s="7" t="inlineStr">
        <is>
          <t>Regulamin musi zostać zaakceptowany. W przeciwnym razie komunikat: „Musisz zaakceptować regulam…</t>
        </is>
      </c>
      <c r="C19" s="7" t="inlineStr">
        <is>
          <t>Wysoki</t>
        </is>
      </c>
      <c r="D19" s="7" t="inlineStr">
        <is>
          <t>TC-REJ-027</t>
        </is>
      </c>
      <c r="E19" s="7">
        <f>IF(A19="","",COUNTIF('Przypadki testowe'!$C$2:$C$300,"*"&amp;A19&amp;"*"))</f>
        <v/>
      </c>
      <c r="F19" s="7">
        <f>IF(A19="","",COUNTIFS('Przypadki testowe'!$C$2:$C$300,"*"&amp;A19&amp;"*",'Przypadki testowe'!$K$2:$K$300,"Zaliczony"))</f>
        <v/>
      </c>
      <c r="G19" s="7">
        <f>IF(A19="","",COUNTIFS('Przypadki testowe'!$C$2:$C$300,"*"&amp;A19&amp;"*",'Przypadki testowe'!$K$2:$K$300,"Niezaliczony"))</f>
        <v/>
      </c>
      <c r="H19" s="7">
        <f>IF(A19="","",IF(E19&gt;0,"Pokryte","BRAK"))</f>
        <v/>
      </c>
      <c r="I19" s="7" t="n"/>
    </row>
    <row r="20">
      <c r="A20" s="7" t="inlineStr">
        <is>
          <t>REQ-REJ-10</t>
        </is>
      </c>
      <c r="B20" s="7" t="inlineStr">
        <is>
          <t>Po wysłaniu formularza z błędami wyświetlana jest lista wszystkich błędów (po jednym komunikaci…</t>
        </is>
      </c>
      <c r="C20" s="7" t="inlineStr">
        <is>
          <t>Wysoki</t>
        </is>
      </c>
      <c r="D20" s="7" t="inlineStr">
        <is>
          <t>TC-REJ-028</t>
        </is>
      </c>
      <c r="E20" s="7">
        <f>IF(A20="","",COUNTIF('Przypadki testowe'!$C$2:$C$300,"*"&amp;A20&amp;"*"))</f>
        <v/>
      </c>
      <c r="F20" s="7">
        <f>IF(A20="","",COUNTIFS('Przypadki testowe'!$C$2:$C$300,"*"&amp;A20&amp;"*",'Przypadki testowe'!$K$2:$K$300,"Zaliczony"))</f>
        <v/>
      </c>
      <c r="G20" s="7">
        <f>IF(A20="","",COUNTIFS('Przypadki testowe'!$C$2:$C$300,"*"&amp;A20&amp;"*",'Przypadki testowe'!$K$2:$K$300,"Niezaliczony"))</f>
        <v/>
      </c>
      <c r="H20" s="7">
        <f>IF(A20="","",IF(E20&gt;0,"Pokryte","BRAK"))</f>
        <v/>
      </c>
      <c r="I20" s="7" t="inlineStr">
        <is>
          <t>DEF-013 (Telefon czyszczony po błędzie)</t>
        </is>
      </c>
    </row>
    <row r="21">
      <c r="A21" s="7" t="inlineStr">
        <is>
          <t>REQ-REJ-11</t>
        </is>
      </c>
      <c r="B21" s="7" t="inlineStr">
        <is>
          <t>Po wysłaniu poprawnego formularza tworzone jest aktywne konto (status ACTIVE, 0 nieudanych prób…</t>
        </is>
      </c>
      <c r="C21" s="7" t="inlineStr">
        <is>
          <t>Wysoki</t>
        </is>
      </c>
      <c r="D21" s="7" t="inlineStr">
        <is>
          <t>TC-REJ-001, TC-REJ-002, TC-REJ-004, TC-REJ-005, TC-REJ-016, TC-REJ-017, TC-REJ-021, TC-REJ-022</t>
        </is>
      </c>
      <c r="E21" s="7">
        <f>IF(A21="","",COUNTIF('Przypadki testowe'!$C$2:$C$300,"*"&amp;A21&amp;"*"))</f>
        <v/>
      </c>
      <c r="F21" s="7">
        <f>IF(A21="","",COUNTIFS('Przypadki testowe'!$C$2:$C$300,"*"&amp;A21&amp;"*",'Przypadki testowe'!$K$2:$K$300,"Zaliczony"))</f>
        <v/>
      </c>
      <c r="G21" s="7">
        <f>IF(A21="","",COUNTIFS('Przypadki testowe'!$C$2:$C$300,"*"&amp;A21&amp;"*",'Przypadki testowe'!$K$2:$K$300,"Niezaliczony"))</f>
        <v/>
      </c>
      <c r="H21" s="7">
        <f>IF(A21="","",IF(E21&gt;0,"Pokryte","BRAK"))</f>
        <v/>
      </c>
      <c r="I21" s="7" t="n"/>
    </row>
    <row r="22">
      <c r="A22" s="7" t="inlineStr">
        <is>
          <t>REQ-LOG-01</t>
        </is>
      </c>
      <c r="B22" s="7" t="inlineStr">
        <is>
          <t>Formularz logowania zawiera pola Login i Hasło oraz przycisk „Zaloguj”.</t>
        </is>
      </c>
      <c r="C22" s="7" t="inlineStr">
        <is>
          <t>Średni</t>
        </is>
      </c>
      <c r="D22" s="7" t="n"/>
      <c r="E22" s="7">
        <f>IF(A22="","",COUNTIF('Przypadki testowe'!$C$2:$C$300,"*"&amp;A22&amp;"*"))</f>
        <v/>
      </c>
      <c r="F22" s="7">
        <f>IF(A22="","",COUNTIFS('Przypadki testowe'!$C$2:$C$300,"*"&amp;A22&amp;"*",'Przypadki testowe'!$K$2:$K$300,"Zaliczony"))</f>
        <v/>
      </c>
      <c r="G22" s="7">
        <f>IF(A22="","",COUNTIFS('Przypadki testowe'!$C$2:$C$300,"*"&amp;A22&amp;"*",'Przypadki testowe'!$K$2:$K$300,"Niezaliczony"))</f>
        <v/>
      </c>
      <c r="H22" s="7">
        <f>IF(A22="","",IF(E22&gt;0,"Pokryte","BRAK"))</f>
        <v/>
      </c>
      <c r="I22" s="7" t="inlineStr">
        <is>
          <t>Poza zakresem ćw. 1 – przypadki na kolejnych zajęciach</t>
        </is>
      </c>
    </row>
    <row r="23">
      <c r="A23" s="7" t="inlineStr">
        <is>
          <t>REQ-LOG-02</t>
        </is>
      </c>
      <c r="B23" s="7" t="inlineStr">
        <is>
          <t>Poprawny login i hasło dla konta aktywnego (ACTIVE) powodują zalogowanie, przejście na stronę g…</t>
        </is>
      </c>
      <c r="C23" s="7" t="inlineStr">
        <is>
          <t>Wysoki</t>
        </is>
      </c>
      <c r="D23" s="7" t="n"/>
      <c r="E23" s="7">
        <f>IF(A23="","",COUNTIF('Przypadki testowe'!$C$2:$C$300,"*"&amp;A23&amp;"*"))</f>
        <v/>
      </c>
      <c r="F23" s="7">
        <f>IF(A23="","",COUNTIFS('Przypadki testowe'!$C$2:$C$300,"*"&amp;A23&amp;"*",'Przypadki testowe'!$K$2:$K$300,"Zaliczony"))</f>
        <v/>
      </c>
      <c r="G23" s="7">
        <f>IF(A23="","",COUNTIFS('Przypadki testowe'!$C$2:$C$300,"*"&amp;A23&amp;"*",'Przypadki testowe'!$K$2:$K$300,"Niezaliczony"))</f>
        <v/>
      </c>
      <c r="H23" s="7">
        <f>IF(A23="","",IF(E23&gt;0,"Pokryte","BRAK"))</f>
        <v/>
      </c>
      <c r="I23" s="7" t="inlineStr">
        <is>
          <t>Poza zakresem ćw. 1 – przypadki na kolejnych zajęciach</t>
        </is>
      </c>
    </row>
    <row r="24">
      <c r="A24" s="7" t="inlineStr">
        <is>
          <t>REQ-LOG-03</t>
        </is>
      </c>
      <c r="B24" s="7" t="inlineStr">
        <is>
          <t>Błędne hasło dla konta aktywnego zwiększa licznik nieudanych prób o 1 i wyświetla komunikat „Bł…</t>
        </is>
      </c>
      <c r="C24" s="7" t="inlineStr">
        <is>
          <t>Wysoki</t>
        </is>
      </c>
      <c r="D24" s="7" t="n"/>
      <c r="E24" s="7">
        <f>IF(A24="","",COUNTIF('Przypadki testowe'!$C$2:$C$300,"*"&amp;A24&amp;"*"))</f>
        <v/>
      </c>
      <c r="F24" s="7">
        <f>IF(A24="","",COUNTIFS('Przypadki testowe'!$C$2:$C$300,"*"&amp;A24&amp;"*",'Przypadki testowe'!$K$2:$K$300,"Zaliczony"))</f>
        <v/>
      </c>
      <c r="G24" s="7">
        <f>IF(A24="","",COUNTIFS('Przypadki testowe'!$C$2:$C$300,"*"&amp;A24&amp;"*",'Przypadki testowe'!$K$2:$K$300,"Niezaliczony"))</f>
        <v/>
      </c>
      <c r="H24" s="7">
        <f>IF(A24="","",IF(E24&gt;0,"Pokryte","BRAK"))</f>
        <v/>
      </c>
      <c r="I24" s="7" t="inlineStr">
        <is>
          <t>Poza zakresem ćw. 1 – przypadki na kolejnych zajęciach</t>
        </is>
      </c>
    </row>
    <row r="25">
      <c r="A25" s="7" t="inlineStr">
        <is>
          <t>REQ-LOG-04</t>
        </is>
      </c>
      <c r="B25" s="7" t="inlineStr">
        <is>
          <t>Trzecia kolejna nieudana próba (bez poprawnego logowania pomiędzy nimi) blokuje konto (status L…</t>
        </is>
      </c>
      <c r="C25" s="7" t="inlineStr">
        <is>
          <t>Wysoki</t>
        </is>
      </c>
      <c r="D25" s="7" t="n"/>
      <c r="E25" s="7">
        <f>IF(A25="","",COUNTIF('Przypadki testowe'!$C$2:$C$300,"*"&amp;A25&amp;"*"))</f>
        <v/>
      </c>
      <c r="F25" s="7">
        <f>IF(A25="","",COUNTIFS('Przypadki testowe'!$C$2:$C$300,"*"&amp;A25&amp;"*",'Przypadki testowe'!$K$2:$K$300,"Zaliczony"))</f>
        <v/>
      </c>
      <c r="G25" s="7">
        <f>IF(A25="","",COUNTIFS('Przypadki testowe'!$C$2:$C$300,"*"&amp;A25&amp;"*",'Przypadki testowe'!$K$2:$K$300,"Niezaliczony"))</f>
        <v/>
      </c>
      <c r="H25" s="7">
        <f>IF(A25="","",IF(E25&gt;0,"Pokryte","BRAK"))</f>
        <v/>
      </c>
      <c r="I25" s="7" t="inlineStr">
        <is>
          <t>Poza zakresem ćw. 1 – przypadki na kolejnych zajęciach</t>
        </is>
      </c>
    </row>
    <row r="26">
      <c r="A26" s="7" t="inlineStr">
        <is>
          <t>REQ-LOG-05</t>
        </is>
      </c>
      <c r="B26" s="7" t="inlineStr">
        <is>
          <t>Na konto zablokowane nie można się zalogować, także poprawnym hasłem. Wyświetlany jest komunika…</t>
        </is>
      </c>
      <c r="C26" s="7" t="inlineStr">
        <is>
          <t>Wysoki</t>
        </is>
      </c>
      <c r="D26" s="7" t="n"/>
      <c r="E26" s="7">
        <f>IF(A26="","",COUNTIF('Przypadki testowe'!$C$2:$C$300,"*"&amp;A26&amp;"*"))</f>
        <v/>
      </c>
      <c r="F26" s="7">
        <f>IF(A26="","",COUNTIFS('Przypadki testowe'!$C$2:$C$300,"*"&amp;A26&amp;"*",'Przypadki testowe'!$K$2:$K$300,"Zaliczony"))</f>
        <v/>
      </c>
      <c r="G26" s="7">
        <f>IF(A26="","",COUNTIFS('Przypadki testowe'!$C$2:$C$300,"*"&amp;A26&amp;"*",'Przypadki testowe'!$K$2:$K$300,"Niezaliczony"))</f>
        <v/>
      </c>
      <c r="H26" s="7">
        <f>IF(A26="","",IF(E26&gt;0,"Pokryte","BRAK"))</f>
        <v/>
      </c>
      <c r="I26" s="7" t="inlineStr">
        <is>
          <t>Poza zakresem ćw. 1 – przypadki na kolejnych zajęciach</t>
        </is>
      </c>
    </row>
    <row r="27">
      <c r="A27" s="7" t="inlineStr">
        <is>
          <t>REQ-LOG-06</t>
        </is>
      </c>
      <c r="B27" s="7" t="inlineStr">
        <is>
          <t>Próba logowania na nieistniejący login wyświetla komunikat „Błędny login lub hasło.” (bez infor…</t>
        </is>
      </c>
      <c r="C27" s="7" t="inlineStr">
        <is>
          <t>Wysoki</t>
        </is>
      </c>
      <c r="D27" s="7" t="n"/>
      <c r="E27" s="7">
        <f>IF(A27="","",COUNTIF('Przypadki testowe'!$C$2:$C$300,"*"&amp;A27&amp;"*"))</f>
        <v/>
      </c>
      <c r="F27" s="7">
        <f>IF(A27="","",COUNTIFS('Przypadki testowe'!$C$2:$C$300,"*"&amp;A27&amp;"*",'Przypadki testowe'!$K$2:$K$300,"Zaliczony"))</f>
        <v/>
      </c>
      <c r="G27" s="7">
        <f>IF(A27="","",COUNTIFS('Przypadki testowe'!$C$2:$C$300,"*"&amp;A27&amp;"*",'Przypadki testowe'!$K$2:$K$300,"Niezaliczony"))</f>
        <v/>
      </c>
      <c r="H27" s="7">
        <f>IF(A27="","",IF(E27&gt;0,"Pokryte","BRAK"))</f>
        <v/>
      </c>
      <c r="I27" s="7" t="inlineStr">
        <is>
          <t>Poza zakresem ćw. 1 – przypadki na kolejnych zajęciach</t>
        </is>
      </c>
    </row>
    <row r="28">
      <c r="A28" s="7" t="inlineStr">
        <is>
          <t>REQ-LOG-07</t>
        </is>
      </c>
      <c r="B28" s="7" t="inlineStr">
        <is>
          <t>Odnośnik „Wyloguj” kończy sesję, przenosi na stronę główną i wyświetla komunikat „Wylogowano.”</t>
        </is>
      </c>
      <c r="C28" s="7" t="inlineStr">
        <is>
          <t>Wysoki</t>
        </is>
      </c>
      <c r="D28" s="7" t="n"/>
      <c r="E28" s="7">
        <f>IF(A28="","",COUNTIF('Przypadki testowe'!$C$2:$C$300,"*"&amp;A28&amp;"*"))</f>
        <v/>
      </c>
      <c r="F28" s="7">
        <f>IF(A28="","",COUNTIFS('Przypadki testowe'!$C$2:$C$300,"*"&amp;A28&amp;"*",'Przypadki testowe'!$K$2:$K$300,"Zaliczony"))</f>
        <v/>
      </c>
      <c r="G28" s="7">
        <f>IF(A28="","",COUNTIFS('Przypadki testowe'!$C$2:$C$300,"*"&amp;A28&amp;"*",'Przypadki testowe'!$K$2:$K$300,"Niezaliczony"))</f>
        <v/>
      </c>
      <c r="H28" s="7">
        <f>IF(A28="","",IF(E28&gt;0,"Pokryte","BRAK"))</f>
        <v/>
      </c>
      <c r="I28" s="7" t="inlineStr">
        <is>
          <t>Poza zakresem ćw. 1 – przypadki na kolejnych zajęciach</t>
        </is>
      </c>
    </row>
    <row r="29">
      <c r="A29" s="7" t="inlineStr">
        <is>
          <t>REQ-LOG-08</t>
        </is>
      </c>
      <c r="B29" s="7" t="inlineStr">
        <is>
          <t>Panel „Administracja” wyświetla tabelę użytkowników z kolumnami: Login, E-mail, Telefon, Wiek,…</t>
        </is>
      </c>
      <c r="C29" s="7" t="inlineStr">
        <is>
          <t>Wysoki</t>
        </is>
      </c>
      <c r="D29" s="7" t="n"/>
      <c r="E29" s="7">
        <f>IF(A29="","",COUNTIF('Przypadki testowe'!$C$2:$C$300,"*"&amp;A29&amp;"*"))</f>
        <v/>
      </c>
      <c r="F29" s="7">
        <f>IF(A29="","",COUNTIFS('Przypadki testowe'!$C$2:$C$300,"*"&amp;A29&amp;"*",'Przypadki testowe'!$K$2:$K$300,"Zaliczony"))</f>
        <v/>
      </c>
      <c r="G29" s="7">
        <f>IF(A29="","",COUNTIFS('Przypadki testowe'!$C$2:$C$300,"*"&amp;A29&amp;"*",'Przypadki testowe'!$K$2:$K$300,"Niezaliczony"))</f>
        <v/>
      </c>
      <c r="H29" s="7">
        <f>IF(A29="","",IF(E29&gt;0,"Pokryte","BRAK"))</f>
        <v/>
      </c>
      <c r="I29" s="7" t="inlineStr">
        <is>
          <t>Poza zakresem ćw. 1 – przypadki na kolejnych zajęciach</t>
        </is>
      </c>
    </row>
    <row r="30">
      <c r="A30" s="7" t="inlineStr">
        <is>
          <t>REQ-LOG-09</t>
        </is>
      </c>
      <c r="B30" s="7" t="inlineStr">
        <is>
          <t>Dla konta zablokowanego (i tylko dla niego) panel wyświetla przycisk „Odblokuj”. Jego użycie zm…</t>
        </is>
      </c>
      <c r="C30" s="7" t="inlineStr">
        <is>
          <t>Wysoki</t>
        </is>
      </c>
      <c r="D30" s="7" t="n"/>
      <c r="E30" s="7">
        <f>IF(A30="","",COUNTIF('Przypadki testowe'!$C$2:$C$300,"*"&amp;A30&amp;"*"))</f>
        <v/>
      </c>
      <c r="F30" s="7">
        <f>IF(A30="","",COUNTIFS('Przypadki testowe'!$C$2:$C$300,"*"&amp;A30&amp;"*",'Przypadki testowe'!$K$2:$K$300,"Zaliczony"))</f>
        <v/>
      </c>
      <c r="G30" s="7">
        <f>IF(A30="","",COUNTIFS('Przypadki testowe'!$C$2:$C$300,"*"&amp;A30&amp;"*",'Przypadki testowe'!$K$2:$K$300,"Niezaliczony"))</f>
        <v/>
      </c>
      <c r="H30" s="7">
        <f>IF(A30="","",IF(E30&gt;0,"Pokryte","BRAK"))</f>
        <v/>
      </c>
      <c r="I30" s="7" t="inlineStr">
        <is>
          <t>Poza zakresem ćw. 1 – przypadki na kolejnych zajęciach</t>
        </is>
      </c>
    </row>
    <row r="31">
      <c r="A31" s="7" t="inlineStr">
        <is>
          <t>REQ-CEN-01</t>
        </is>
      </c>
      <c r="B31" s="7" t="inlineStr">
        <is>
          <t>Formularz zawiera: wybór sektora (Płyta – domyślnie, Trybuna, Balkon), pole „Liczba biletów” (d…</t>
        </is>
      </c>
      <c r="C31" s="7" t="inlineStr">
        <is>
          <t>Średni</t>
        </is>
      </c>
      <c r="D31" s="7" t="inlineStr">
        <is>
          <t>TC-CEN-017</t>
        </is>
      </c>
      <c r="E31" s="7">
        <f>IF(A31="","",COUNTIF('Przypadki testowe'!$C$2:$C$300,"*"&amp;A31&amp;"*"))</f>
        <v/>
      </c>
      <c r="F31" s="7">
        <f>IF(A31="","",COUNTIFS('Przypadki testowe'!$C$2:$C$300,"*"&amp;A31&amp;"*",'Przypadki testowe'!$K$2:$K$300,"Zaliczony"))</f>
        <v/>
      </c>
      <c r="G31" s="7">
        <f>IF(A31="","",COUNTIFS('Przypadki testowe'!$C$2:$C$300,"*"&amp;A31&amp;"*",'Przypadki testowe'!$K$2:$K$300,"Niezaliczony"))</f>
        <v/>
      </c>
      <c r="H31" s="7">
        <f>IF(A31="","",IF(E31&gt;0,"Pokryte","BRAK"))</f>
        <v/>
      </c>
      <c r="I31" s="7" t="n"/>
    </row>
    <row r="32">
      <c r="A32" s="7" t="inlineStr">
        <is>
          <t>REQ-CEN-02</t>
        </is>
      </c>
      <c r="B32" s="7" t="inlineStr">
        <is>
          <t>Liczba biletów to liczba całkowita z zakresu 1–6 (limit biletów w jednym zamówieniu). Dla innej…</t>
        </is>
      </c>
      <c r="C32" s="7" t="inlineStr">
        <is>
          <t>Wysoki</t>
        </is>
      </c>
      <c r="D32" s="7" t="inlineStr">
        <is>
          <t>TC-CEN-010, TC-CEN-011, TC-CEN-012, TC-CEN-013, TC-CEN-014, TC-CEN-015</t>
        </is>
      </c>
      <c r="E32" s="7">
        <f>IF(A32="","",COUNTIF('Przypadki testowe'!$C$2:$C$300,"*"&amp;A32&amp;"*"))</f>
        <v/>
      </c>
      <c r="F32" s="7">
        <f>IF(A32="","",COUNTIFS('Przypadki testowe'!$C$2:$C$300,"*"&amp;A32&amp;"*",'Przypadki testowe'!$K$2:$K$300,"Zaliczony"))</f>
        <v/>
      </c>
      <c r="G32" s="7">
        <f>IF(A32="","",COUNTIFS('Przypadki testowe'!$C$2:$C$300,"*"&amp;A32&amp;"*",'Przypadki testowe'!$K$2:$K$300,"Niezaliczony"))</f>
        <v/>
      </c>
      <c r="H32" s="7">
        <f>IF(A32="","",IF(E32&gt;0,"Pokryte","BRAK"))</f>
        <v/>
      </c>
      <c r="I32" s="7" t="inlineStr">
        <is>
          <t>DEF-011 (limit 10 zamiast 6); TC-CEN-015 pominięty</t>
        </is>
      </c>
    </row>
    <row r="33">
      <c r="A33" s="7" t="inlineStr">
        <is>
          <t>REQ-CEN-03</t>
        </is>
      </c>
      <c r="B33" s="7" t="inlineStr">
        <is>
          <t>Rabat: 15%, gdy klient ma kartę Klubu Fana i podał poprawny kod promocyjny; 10%, gdy spełniony…</t>
        </is>
      </c>
      <c r="C33" s="7" t="inlineStr">
        <is>
          <t>Wysoki</t>
        </is>
      </c>
      <c r="D33" s="7" t="inlineStr">
        <is>
          <t>TC-CEN-001, TC-CEN-002, TC-CEN-003, TC-CEN-004</t>
        </is>
      </c>
      <c r="E33" s="7">
        <f>IF(A33="","",COUNTIF('Przypadki testowe'!$C$2:$C$300,"*"&amp;A33&amp;"*"))</f>
        <v/>
      </c>
      <c r="F33" s="7">
        <f>IF(A33="","",COUNTIFS('Przypadki testowe'!$C$2:$C$300,"*"&amp;A33&amp;"*",'Przypadki testowe'!$K$2:$K$300,"Zaliczony"))</f>
        <v/>
      </c>
      <c r="G33" s="7">
        <f>IF(A33="","",COUNTIFS('Przypadki testowe'!$C$2:$C$300,"*"&amp;A33&amp;"*",'Przypadki testowe'!$K$2:$K$300,"Niezaliczony"))</f>
        <v/>
      </c>
      <c r="H33" s="7">
        <f>IF(A33="","",IF(E33&gt;0,"Pokryte","BRAK"))</f>
        <v/>
      </c>
      <c r="I33" s="7" t="inlineStr">
        <is>
          <t>DEF-009 zamknięty po retestach (rc2)</t>
        </is>
      </c>
    </row>
    <row r="34">
      <c r="A34" s="7" t="inlineStr">
        <is>
          <t>REQ-CEN-04</t>
        </is>
      </c>
      <c r="B34" s="7" t="inlineStr">
        <is>
          <t>Poprawny kod promocyjny to „FAN2026”; wielkość liter nie ma znaczenia, a spacje na początku i k…</t>
        </is>
      </c>
      <c r="C34" s="7" t="inlineStr">
        <is>
          <t>Wysoki</t>
        </is>
      </c>
      <c r="D34" s="7" t="inlineStr">
        <is>
          <t>TC-CEN-005, TC-CEN-006</t>
        </is>
      </c>
      <c r="E34" s="7">
        <f>IF(A34="","",COUNTIF('Przypadki testowe'!$C$2:$C$300,"*"&amp;A34&amp;"*"))</f>
        <v/>
      </c>
      <c r="F34" s="7">
        <f>IF(A34="","",COUNTIFS('Przypadki testowe'!$C$2:$C$300,"*"&amp;A34&amp;"*",'Przypadki testowe'!$K$2:$K$300,"Zaliczony"))</f>
        <v/>
      </c>
      <c r="G34" s="7">
        <f>IF(A34="","",COUNTIFS('Przypadki testowe'!$C$2:$C$300,"*"&amp;A34&amp;"*",'Przypadki testowe'!$K$2:$K$300,"Niezaliczony"))</f>
        <v/>
      </c>
      <c r="H34" s="7">
        <f>IF(A34="","",IF(E34&gt;0,"Pokryte","BRAK"))</f>
        <v/>
      </c>
      <c r="I34" s="7" t="n"/>
    </row>
    <row r="35">
      <c r="A35" s="7" t="inlineStr">
        <is>
          <t>REQ-CEN-05</t>
        </is>
      </c>
      <c r="B35" s="7" t="inlineStr">
        <is>
          <t>Dostawa jest bezpłatna, gdy klient ma kartę Klubu Fana lub wartość biletów (przed rabatem) wyno…</t>
        </is>
      </c>
      <c r="C35" s="7" t="inlineStr">
        <is>
          <t>Wysoki</t>
        </is>
      </c>
      <c r="D35" s="7" t="inlineStr">
        <is>
          <t>TC-CEN-002, TC-CEN-007, TC-CEN-008, TC-CEN-009, TC-CEN-012</t>
        </is>
      </c>
      <c r="E35" s="7">
        <f>IF(A35="","",COUNTIF('Przypadki testowe'!$C$2:$C$300,"*"&amp;A35&amp;"*"))</f>
        <v/>
      </c>
      <c r="F35" s="7">
        <f>IF(A35="","",COUNTIFS('Przypadki testowe'!$C$2:$C$300,"*"&amp;A35&amp;"*",'Przypadki testowe'!$K$2:$K$300,"Zaliczony"))</f>
        <v/>
      </c>
      <c r="G35" s="7">
        <f>IF(A35="","",COUNTIFS('Przypadki testowe'!$C$2:$C$300,"*"&amp;A35&amp;"*",'Przypadki testowe'!$K$2:$K$300,"Niezaliczony"))</f>
        <v/>
      </c>
      <c r="H35" s="7">
        <f>IF(A35="","",IF(E35&gt;0,"Pokryte","BRAK"))</f>
        <v/>
      </c>
      <c r="I35" s="7" t="inlineStr">
        <is>
          <t>DEF-010 ponownie otwarty (rc2)</t>
        </is>
      </c>
    </row>
    <row r="36">
      <c r="A36" s="7" t="inlineStr">
        <is>
          <t>REQ-CEN-06</t>
        </is>
      </c>
      <c r="B36" s="7" t="inlineStr">
        <is>
          <t>Koszt płatnej dostawy: E-bilet 0,00 zł, Odbiór w kasie 5,00 zł, Kurier 20,00 zł.</t>
        </is>
      </c>
      <c r="C36" s="7" t="inlineStr">
        <is>
          <t>Wysoki</t>
        </is>
      </c>
      <c r="D36" s="7" t="inlineStr">
        <is>
          <t>TC-CEN-001, TC-CEN-003, TC-CEN-005, TC-CEN-006</t>
        </is>
      </c>
      <c r="E36" s="7">
        <f>IF(A36="","",COUNTIF('Przypadki testowe'!$C$2:$C$300,"*"&amp;A36&amp;"*"))</f>
        <v/>
      </c>
      <c r="F36" s="7">
        <f>IF(A36="","",COUNTIFS('Przypadki testowe'!$C$2:$C$300,"*"&amp;A36&amp;"*",'Przypadki testowe'!$K$2:$K$300,"Zaliczony"))</f>
        <v/>
      </c>
      <c r="G36" s="7">
        <f>IF(A36="","",COUNTIFS('Przypadki testowe'!$C$2:$C$300,"*"&amp;A36&amp;"*",'Przypadki testowe'!$K$2:$K$300,"Niezaliczony"))</f>
        <v/>
      </c>
      <c r="H36" s="7">
        <f>IF(A36="","",IF(E36&gt;0,"Pokryte","BRAK"))</f>
        <v/>
      </c>
      <c r="I36" s="7" t="n"/>
    </row>
    <row r="37">
      <c r="A37" s="7" t="inlineStr">
        <is>
          <t>REQ-CEN-07</t>
        </is>
      </c>
      <c r="B37" s="7" t="inlineStr">
        <is>
          <t>Kwota do zapłaty = wartość biletów × (100 − rabat) / 100 (zaokrąglona do pełnego grosza) + opła…</t>
        </is>
      </c>
      <c r="C37" s="7" t="inlineStr">
        <is>
          <t>Wysoki</t>
        </is>
      </c>
      <c r="D37" s="7" t="inlineStr">
        <is>
          <t>TC-CEN-001, TC-CEN-007, TC-CEN-009, TC-CEN-011, TC-CEN-016, TC-CEN-018</t>
        </is>
      </c>
      <c r="E37" s="7">
        <f>IF(A37="","",COUNTIF('Przypadki testowe'!$C$2:$C$300,"*"&amp;A37&amp;"*"))</f>
        <v/>
      </c>
      <c r="F37" s="7">
        <f>IF(A37="","",COUNTIFS('Przypadki testowe'!$C$2:$C$300,"*"&amp;A37&amp;"*",'Przypadki testowe'!$K$2:$K$300,"Zaliczony"))</f>
        <v/>
      </c>
      <c r="G37" s="7">
        <f>IF(A37="","",COUNTIFS('Przypadki testowe'!$C$2:$C$300,"*"&amp;A37&amp;"*",'Przypadki testowe'!$K$2:$K$300,"Niezaliczony"))</f>
        <v/>
      </c>
      <c r="H37" s="7">
        <f>IF(A37="","",IF(E37&gt;0,"Pokryte","BRAK"))</f>
        <v/>
      </c>
      <c r="I37" s="7" t="inlineStr">
        <is>
          <t>TC-CEN-018 zablokowany – pytanie Q-01 o metodę zaokrąglania</t>
        </is>
      </c>
    </row>
    <row r="38">
      <c r="A38" s="7" t="inlineStr">
        <is>
          <t>REQ-CEN-08</t>
        </is>
      </c>
      <c r="B38" s="7" t="inlineStr">
        <is>
          <t>Wynik zawiera: wartość biletów, rabat w procentach (np. „15%”), opłatę serwisową, koszt dostawy…</t>
        </is>
      </c>
      <c r="C38" s="7" t="inlineStr">
        <is>
          <t>Wysoki</t>
        </is>
      </c>
      <c r="D38" s="7" t="inlineStr">
        <is>
          <t>TC-CEN-004, TC-CEN-017</t>
        </is>
      </c>
      <c r="E38" s="7">
        <f>IF(A38="","",COUNTIF('Przypadki testowe'!$C$2:$C$300,"*"&amp;A38&amp;"*"))</f>
        <v/>
      </c>
      <c r="F38" s="7">
        <f>IF(A38="","",COUNTIFS('Przypadki testowe'!$C$2:$C$300,"*"&amp;A38&amp;"*",'Przypadki testowe'!$K$2:$K$300,"Zaliczony"))</f>
        <v/>
      </c>
      <c r="G38" s="7">
        <f>IF(A38="","",COUNTIFS('Przypadki testowe'!$C$2:$C$300,"*"&amp;A38&amp;"*",'Przypadki testowe'!$K$2:$K$300,"Niezaliczony"))</f>
        <v/>
      </c>
      <c r="H38" s="7">
        <f>IF(A38="","",IF(E38&gt;0,"Pokryte","BRAK"))</f>
        <v/>
      </c>
      <c r="I38" s="7" t="inlineStr">
        <is>
          <t>Format wyniku sprawdzany w każdym TC-CEN</t>
        </is>
      </c>
    </row>
    <row r="39">
      <c r="A39" s="7" t="inlineStr">
        <is>
          <t>REQ-ZAM-01</t>
        </is>
      </c>
      <c r="B39" s="7" t="inlineStr">
        <is>
          <t>Strona „Repertuar” jest dostępna bez logowania i wyświetla tabelę koncertów z kolumnami: Koncer…</t>
        </is>
      </c>
      <c r="C39" s="7" t="inlineStr">
        <is>
          <t>Wysoki</t>
        </is>
      </c>
      <c r="D39" s="7" t="n"/>
      <c r="E39" s="7">
        <f>IF(A39="","",COUNTIF('Przypadki testowe'!$C$2:$C$300,"*"&amp;A39&amp;"*"))</f>
        <v/>
      </c>
      <c r="F39" s="7">
        <f>IF(A39="","",COUNTIFS('Przypadki testowe'!$C$2:$C$300,"*"&amp;A39&amp;"*",'Przypadki testowe'!$K$2:$K$300,"Zaliczony"))</f>
        <v/>
      </c>
      <c r="G39" s="7">
        <f>IF(A39="","",COUNTIFS('Przypadki testowe'!$C$2:$C$300,"*"&amp;A39&amp;"*",'Przypadki testowe'!$K$2:$K$300,"Niezaliczony"))</f>
        <v/>
      </c>
      <c r="H39" s="7">
        <f>IF(A39="","",IF(E39&gt;0,"Pokryte","BRAK"))</f>
        <v/>
      </c>
      <c r="I39" s="7" t="inlineStr">
        <is>
          <t>Poza zakresem ćw. 1 – przypadki na kolejnych zajęciach</t>
        </is>
      </c>
    </row>
    <row r="40">
      <c r="A40" s="7" t="inlineStr">
        <is>
          <t>REQ-ZAM-02</t>
        </is>
      </c>
      <c r="B40" s="7" t="inlineStr">
        <is>
          <t>Strona „Moje bilety” jest dostępna tylko dla zalogowanych. Niezalogowany użytkownik jest przeno…</t>
        </is>
      </c>
      <c r="C40" s="7" t="inlineStr">
        <is>
          <t>Wysoki</t>
        </is>
      </c>
      <c r="D40" s="7" t="n"/>
      <c r="E40" s="7">
        <f>IF(A40="","",COUNTIF('Przypadki testowe'!$C$2:$C$300,"*"&amp;A40&amp;"*"))</f>
        <v/>
      </c>
      <c r="F40" s="7">
        <f>IF(A40="","",COUNTIFS('Przypadki testowe'!$C$2:$C$300,"*"&amp;A40&amp;"*",'Przypadki testowe'!$K$2:$K$300,"Zaliczony"))</f>
        <v/>
      </c>
      <c r="G40" s="7">
        <f>IF(A40="","",COUNTIFS('Przypadki testowe'!$C$2:$C$300,"*"&amp;A40&amp;"*",'Przypadki testowe'!$K$2:$K$300,"Niezaliczony"))</f>
        <v/>
      </c>
      <c r="H40" s="7">
        <f>IF(A40="","",IF(E40&gt;0,"Pokryte","BRAK"))</f>
        <v/>
      </c>
      <c r="I40" s="7" t="inlineStr">
        <is>
          <t>Poza zakresem ćw. 1 – przypadki na kolejnych zajęciach</t>
        </is>
      </c>
    </row>
    <row r="41">
      <c r="A41" s="7" t="inlineStr">
        <is>
          <t>REQ-ZAM-03</t>
        </is>
      </c>
      <c r="B41" s="7" t="inlineStr">
        <is>
          <t>Strona „Moje bilety” wyświetla tabelę własnych zamówień użytkownika z kolumnami: Nr, Koncert, L…</t>
        </is>
      </c>
      <c r="C41" s="7" t="inlineStr">
        <is>
          <t>Wysoki</t>
        </is>
      </c>
      <c r="D41" s="7" t="n"/>
      <c r="E41" s="7">
        <f>IF(A41="","",COUNTIF('Przypadki testowe'!$C$2:$C$300,"*"&amp;A41&amp;"*"))</f>
        <v/>
      </c>
      <c r="F41" s="7">
        <f>IF(A41="","",COUNTIFS('Przypadki testowe'!$C$2:$C$300,"*"&amp;A41&amp;"*",'Przypadki testowe'!$K$2:$K$300,"Zaliczony"))</f>
        <v/>
      </c>
      <c r="G41" s="7">
        <f>IF(A41="","",COUNTIFS('Przypadki testowe'!$C$2:$C$300,"*"&amp;A41&amp;"*",'Przypadki testowe'!$K$2:$K$300,"Niezaliczony"))</f>
        <v/>
      </c>
      <c r="H41" s="7">
        <f>IF(A41="","",IF(E41&gt;0,"Pokryte","BRAK"))</f>
        <v/>
      </c>
      <c r="I41" s="7" t="inlineStr">
        <is>
          <t>Poza zakresem ćw. 1 – przypadki na kolejnych zajęciach</t>
        </is>
      </c>
    </row>
    <row r="42">
      <c r="A42" s="7" t="inlineStr">
        <is>
          <t>REQ-ZAM-04</t>
        </is>
      </c>
      <c r="B42" s="7" t="inlineStr">
        <is>
          <t>Zalogowany użytkownik może zarezerwować bilety, wybierając koncert z listy i podając liczbę bil…</t>
        </is>
      </c>
      <c r="C42" s="7" t="inlineStr">
        <is>
          <t>Wysoki</t>
        </is>
      </c>
      <c r="D42" s="7" t="n"/>
      <c r="E42" s="7">
        <f>IF(A42="","",COUNTIF('Przypadki testowe'!$C$2:$C$300,"*"&amp;A42&amp;"*"))</f>
        <v/>
      </c>
      <c r="F42" s="7">
        <f>IF(A42="","",COUNTIFS('Przypadki testowe'!$C$2:$C$300,"*"&amp;A42&amp;"*",'Przypadki testowe'!$K$2:$K$300,"Zaliczony"))</f>
        <v/>
      </c>
      <c r="G42" s="7">
        <f>IF(A42="","",COUNTIFS('Przypadki testowe'!$C$2:$C$300,"*"&amp;A42&amp;"*",'Przypadki testowe'!$K$2:$K$300,"Niezaliczony"))</f>
        <v/>
      </c>
      <c r="H42" s="7">
        <f>IF(A42="","",IF(E42&gt;0,"Pokryte","BRAK"))</f>
        <v/>
      </c>
      <c r="I42" s="7" t="inlineStr">
        <is>
          <t>Poza zakresem ćw. 1 – przypadki na kolejnych zajęciach</t>
        </is>
      </c>
    </row>
    <row r="43">
      <c r="A43" s="7" t="inlineStr">
        <is>
          <t>REQ-ZAM-05</t>
        </is>
      </c>
      <c r="B43" s="7" t="inlineStr">
        <is>
          <t>Dozwolone są wyłącznie przejścia: Zarezerwowane –opłać→ Opłacone; Zarezerwowane –anuluj→ Anulow…</t>
        </is>
      </c>
      <c r="C43" s="7" t="inlineStr">
        <is>
          <t>Wysoki</t>
        </is>
      </c>
      <c r="D43" s="7" t="n"/>
      <c r="E43" s="7">
        <f>IF(A43="","",COUNTIF('Przypadki testowe'!$C$2:$C$300,"*"&amp;A43&amp;"*"))</f>
        <v/>
      </c>
      <c r="F43" s="7">
        <f>IF(A43="","",COUNTIFS('Przypadki testowe'!$C$2:$C$300,"*"&amp;A43&amp;"*",'Przypadki testowe'!$K$2:$K$300,"Zaliczony"))</f>
        <v/>
      </c>
      <c r="G43" s="7">
        <f>IF(A43="","",COUNTIFS('Przypadki testowe'!$C$2:$C$300,"*"&amp;A43&amp;"*",'Przypadki testowe'!$K$2:$K$300,"Niezaliczony"))</f>
        <v/>
      </c>
      <c r="H43" s="7">
        <f>IF(A43="","",IF(E43&gt;0,"Pokryte","BRAK"))</f>
        <v/>
      </c>
      <c r="I43" s="7" t="inlineStr">
        <is>
          <t>Poza zakresem ćw. 1 – przypadki na kolejnych zajęciach</t>
        </is>
      </c>
    </row>
    <row r="44">
      <c r="A44" s="7" t="inlineStr">
        <is>
          <t>REQ-ZAM-06</t>
        </is>
      </c>
      <c r="B44" s="7" t="inlineStr">
        <is>
          <t>Przy każdym zamówieniu wyświetlane są przyciski wyłącznie tych akcji, które są dozwolone w jego…</t>
        </is>
      </c>
      <c r="C44" s="7" t="inlineStr">
        <is>
          <t>Wysoki</t>
        </is>
      </c>
      <c r="D44" s="7" t="n"/>
      <c r="E44" s="7">
        <f>IF(A44="","",COUNTIF('Przypadki testowe'!$C$2:$C$300,"*"&amp;A44&amp;"*"))</f>
        <v/>
      </c>
      <c r="F44" s="7">
        <f>IF(A44="","",COUNTIFS('Przypadki testowe'!$C$2:$C$300,"*"&amp;A44&amp;"*",'Przypadki testowe'!$K$2:$K$300,"Zaliczony"))</f>
        <v/>
      </c>
      <c r="G44" s="7">
        <f>IF(A44="","",COUNTIFS('Przypadki testowe'!$C$2:$C$300,"*"&amp;A44&amp;"*",'Przypadki testowe'!$K$2:$K$300,"Niezaliczony"))</f>
        <v/>
      </c>
      <c r="H44" s="7">
        <f>IF(A44="","",IF(E44&gt;0,"Pokryte","BRAK"))</f>
        <v/>
      </c>
      <c r="I44" s="7" t="inlineStr">
        <is>
          <t>Poza zakresem ćw. 1 – przypadki na kolejnych zajęciach</t>
        </is>
      </c>
    </row>
    <row r="45">
      <c r="A45" s="7" t="inlineStr">
        <is>
          <t>REQ-ZAM-07</t>
        </is>
      </c>
      <c r="B45" s="7" t="inlineStr">
        <is>
          <t>Po wykonaniu dozwolonej akcji status zmienia się zgodnie z REQ-ZAM-05 i wyświetlany jest komuni…</t>
        </is>
      </c>
      <c r="C45" s="7" t="inlineStr">
        <is>
          <t>Wysoki</t>
        </is>
      </c>
      <c r="D45" s="7" t="n"/>
      <c r="E45" s="7">
        <f>IF(A45="","",COUNTIF('Przypadki testowe'!$C$2:$C$300,"*"&amp;A45&amp;"*"))</f>
        <v/>
      </c>
      <c r="F45" s="7">
        <f>IF(A45="","",COUNTIFS('Przypadki testowe'!$C$2:$C$300,"*"&amp;A45&amp;"*",'Przypadki testowe'!$K$2:$K$300,"Zaliczony"))</f>
        <v/>
      </c>
      <c r="G45" s="7">
        <f>IF(A45="","",COUNTIFS('Przypadki testowe'!$C$2:$C$300,"*"&amp;A45&amp;"*",'Przypadki testowe'!$K$2:$K$300,"Niezaliczony"))</f>
        <v/>
      </c>
      <c r="H45" s="7">
        <f>IF(A45="","",IF(E45&gt;0,"Pokryte","BRAK"))</f>
        <v/>
      </c>
      <c r="I45" s="7" t="inlineStr">
        <is>
          <t>Poza zakresem ćw. 1 – przypadki na kolejnych zajęciach</t>
        </is>
      </c>
    </row>
    <row r="46">
      <c r="A46" s="7" t="inlineStr">
        <is>
          <t>REQ-ZAM-08</t>
        </is>
      </c>
      <c r="B46" s="7" t="inlineStr">
        <is>
          <t>Próba wykonania niedozwolonej akcji (np. przez bezpośrednie wywołanie adresu akcja.php?id=4&amp;akc…</t>
        </is>
      </c>
      <c r="C46" s="7" t="inlineStr">
        <is>
          <t>Wysoki</t>
        </is>
      </c>
      <c r="D46" s="7" t="n"/>
      <c r="E46" s="7">
        <f>IF(A46="","",COUNTIF('Przypadki testowe'!$C$2:$C$300,"*"&amp;A46&amp;"*"))</f>
        <v/>
      </c>
      <c r="F46" s="7">
        <f>IF(A46="","",COUNTIFS('Przypadki testowe'!$C$2:$C$300,"*"&amp;A46&amp;"*",'Przypadki testowe'!$K$2:$K$300,"Zaliczony"))</f>
        <v/>
      </c>
      <c r="G46" s="7">
        <f>IF(A46="","",COUNTIFS('Przypadki testowe'!$C$2:$C$300,"*"&amp;A46&amp;"*",'Przypadki testowe'!$K$2:$K$300,"Niezaliczony"))</f>
        <v/>
      </c>
      <c r="H46" s="7">
        <f>IF(A46="","",IF(E46&gt;0,"Pokryte","BRAK"))</f>
        <v/>
      </c>
      <c r="I46" s="7" t="inlineStr">
        <is>
          <t>Poza zakresem ćw. 1 – przypadki na kolejnych zajęciach</t>
        </is>
      </c>
    </row>
    <row r="47">
      <c r="A47" s="7" t="inlineStr">
        <is>
          <t>REQ-ZAM-09</t>
        </is>
      </c>
      <c r="B47" s="7" t="inlineStr">
        <is>
          <t>Próba wykonania akcji na zamówieniu nieistniejącym lub należącym do innego użytkownika wyświetl…</t>
        </is>
      </c>
      <c r="C47" s="7" t="inlineStr">
        <is>
          <t>Wysoki</t>
        </is>
      </c>
      <c r="D47" s="7" t="n"/>
      <c r="E47" s="7">
        <f>IF(A47="","",COUNTIF('Przypadki testowe'!$C$2:$C$300,"*"&amp;A47&amp;"*"))</f>
        <v/>
      </c>
      <c r="F47" s="7">
        <f>IF(A47="","",COUNTIFS('Przypadki testowe'!$C$2:$C$300,"*"&amp;A47&amp;"*",'Przypadki testowe'!$K$2:$K$300,"Zaliczony"))</f>
        <v/>
      </c>
      <c r="G47" s="7">
        <f>IF(A47="","",COUNTIFS('Przypadki testowe'!$C$2:$C$300,"*"&amp;A47&amp;"*",'Przypadki testowe'!$K$2:$K$300,"Niezaliczony"))</f>
        <v/>
      </c>
      <c r="H47" s="7">
        <f>IF(A47="","",IF(E47&gt;0,"Pokryte","BRAK"))</f>
        <v/>
      </c>
      <c r="I47" s="7" t="inlineStr">
        <is>
          <t>Poza zakresem ćw. 1 – przypadki na kolejnych zajęciach</t>
        </is>
      </c>
    </row>
    <row r="48">
      <c r="A48" s="7" t="inlineStr">
        <is>
          <t>REQ-KON-01</t>
        </is>
      </c>
      <c r="B48" s="7" t="inlineStr">
        <is>
          <t>Formularz zawiera pola: Imię (maks. 60 znaków), E-mail (maks. 120 znaków), Nr zamówienia (opcjo…</t>
        </is>
      </c>
      <c r="C48" s="7" t="inlineStr">
        <is>
          <t>Średni</t>
        </is>
      </c>
      <c r="D48" s="7" t="n"/>
      <c r="E48" s="7">
        <f>IF(A48="","",COUNTIF('Przypadki testowe'!$C$2:$C$300,"*"&amp;A48&amp;"*"))</f>
        <v/>
      </c>
      <c r="F48" s="7">
        <f>IF(A48="","",COUNTIFS('Przypadki testowe'!$C$2:$C$300,"*"&amp;A48&amp;"*",'Przypadki testowe'!$K$2:$K$300,"Zaliczony"))</f>
        <v/>
      </c>
      <c r="G48" s="7">
        <f>IF(A48="","",COUNTIFS('Przypadki testowe'!$C$2:$C$300,"*"&amp;A48&amp;"*",'Przypadki testowe'!$K$2:$K$300,"Niezaliczony"))</f>
        <v/>
      </c>
      <c r="H48" s="7">
        <f>IF(A48="","",IF(E48&gt;0,"Pokryte","BRAK"))</f>
        <v/>
      </c>
      <c r="I48" s="7" t="inlineStr">
        <is>
          <t>Poza zakresem ćw. 1 – przypadki na kolejnych zajęciach</t>
        </is>
      </c>
    </row>
    <row r="49">
      <c r="A49" s="7" t="inlineStr">
        <is>
          <t>REQ-KON-02</t>
        </is>
      </c>
      <c r="B49" s="7" t="inlineStr">
        <is>
          <t>Imię nie może być puste – w przeciwnym razie komunikat „Podaj imię.”</t>
        </is>
      </c>
      <c r="C49" s="7" t="inlineStr">
        <is>
          <t>Średni</t>
        </is>
      </c>
      <c r="D49" s="7" t="n"/>
      <c r="E49" s="7">
        <f>IF(A49="","",COUNTIF('Przypadki testowe'!$C$2:$C$300,"*"&amp;A49&amp;"*"))</f>
        <v/>
      </c>
      <c r="F49" s="7">
        <f>IF(A49="","",COUNTIFS('Przypadki testowe'!$C$2:$C$300,"*"&amp;A49&amp;"*",'Przypadki testowe'!$K$2:$K$300,"Zaliczony"))</f>
        <v/>
      </c>
      <c r="G49" s="7">
        <f>IF(A49="","",COUNTIFS('Przypadki testowe'!$C$2:$C$300,"*"&amp;A49&amp;"*",'Przypadki testowe'!$K$2:$K$300,"Niezaliczony"))</f>
        <v/>
      </c>
      <c r="H49" s="7">
        <f>IF(A49="","",IF(E49&gt;0,"Pokryte","BRAK"))</f>
        <v/>
      </c>
      <c r="I49" s="7" t="inlineStr">
        <is>
          <t>Poza zakresem ćw. 1 – przypadki na kolejnych zajęciach</t>
        </is>
      </c>
    </row>
    <row r="50">
      <c r="A50" s="7" t="inlineStr">
        <is>
          <t>REQ-KON-03</t>
        </is>
      </c>
      <c r="B50" s="7" t="inlineStr">
        <is>
          <t>E-mail musi być poprawnym adresem – w przeciwnym razie komunikat „Niepoprawny adres e-mail.”</t>
        </is>
      </c>
      <c r="C50" s="7" t="inlineStr">
        <is>
          <t>Średni</t>
        </is>
      </c>
      <c r="D50" s="7" t="n"/>
      <c r="E50" s="7">
        <f>IF(A50="","",COUNTIF('Przypadki testowe'!$C$2:$C$300,"*"&amp;A50&amp;"*"))</f>
        <v/>
      </c>
      <c r="F50" s="7">
        <f>IF(A50="","",COUNTIFS('Przypadki testowe'!$C$2:$C$300,"*"&amp;A50&amp;"*",'Przypadki testowe'!$K$2:$K$300,"Zaliczony"))</f>
        <v/>
      </c>
      <c r="G50" s="7">
        <f>IF(A50="","",COUNTIFS('Przypadki testowe'!$C$2:$C$300,"*"&amp;A50&amp;"*",'Przypadki testowe'!$K$2:$K$300,"Niezaliczony"))</f>
        <v/>
      </c>
      <c r="H50" s="7">
        <f>IF(A50="","",IF(E50&gt;0,"Pokryte","BRAK"))</f>
        <v/>
      </c>
      <c r="I50" s="7" t="inlineStr">
        <is>
          <t>Poza zakresem ćw. 1 – przypadki na kolejnych zajęciach</t>
        </is>
      </c>
    </row>
    <row r="51">
      <c r="A51" t="inlineStr">
        <is>
          <t>REQ-KON-04</t>
        </is>
      </c>
      <c r="B51" t="inlineStr">
        <is>
          <t>Nr zamówienia, jeśli podany, musi być dodatnią liczbą całkowitą – w przeciwnym razie komunikat…</t>
        </is>
      </c>
      <c r="C51" t="inlineStr">
        <is>
          <t>Średni</t>
        </is>
      </c>
      <c r="E51">
        <f>IF(A51="","",COUNTIF('Przypadki testowe'!$C$2:$C$300,"*"&amp;A51&amp;"*"))</f>
        <v/>
      </c>
      <c r="F51">
        <f>IF(A51="","",COUNTIFS('Przypadki testowe'!$C$2:$C$300,"*"&amp;A51&amp;"*",'Przypadki testowe'!$K$2:$K$300,"Zaliczony"))</f>
        <v/>
      </c>
      <c r="G51">
        <f>IF(A51="","",COUNTIFS('Przypadki testowe'!$C$2:$C$300,"*"&amp;A51&amp;"*",'Przypadki testowe'!$K$2:$K$300,"Niezaliczony"))</f>
        <v/>
      </c>
      <c r="H51">
        <f>IF(A51="","",IF(E51&gt;0,"Pokryte","BRAK"))</f>
        <v/>
      </c>
      <c r="I51" t="inlineStr">
        <is>
          <t>Poza zakresem ćw. 1 – przypadki na kolejnych zajęciach</t>
        </is>
      </c>
    </row>
    <row r="52">
      <c r="A52" t="inlineStr">
        <is>
          <t>REQ-KON-05</t>
        </is>
      </c>
      <c r="B52" t="inlineStr">
        <is>
          <t>Wiadomość nie może być pusta – w przeciwnym razie komunikat „Wpisz treść wiadomości.”</t>
        </is>
      </c>
      <c r="C52" t="inlineStr">
        <is>
          <t>Średni</t>
        </is>
      </c>
      <c r="E52">
        <f>IF(A52="","",COUNTIF('Przypadki testowe'!$C$2:$C$300,"*"&amp;A52&amp;"*"))</f>
        <v/>
      </c>
      <c r="F52">
        <f>IF(A52="","",COUNTIFS('Przypadki testowe'!$C$2:$C$300,"*"&amp;A52&amp;"*",'Przypadki testowe'!$K$2:$K$300,"Zaliczony"))</f>
        <v/>
      </c>
      <c r="G52">
        <f>IF(A52="","",COUNTIFS('Przypadki testowe'!$C$2:$C$300,"*"&amp;A52&amp;"*",'Przypadki testowe'!$K$2:$K$300,"Niezaliczony"))</f>
        <v/>
      </c>
      <c r="H52">
        <f>IF(A52="","",IF(E52&gt;0,"Pokryte","BRAK"))</f>
        <v/>
      </c>
      <c r="I52" t="inlineStr">
        <is>
          <t>Poza zakresem ćw. 1 – przypadki na kolejnych zajęciach</t>
        </is>
      </c>
    </row>
    <row r="53">
      <c r="A53" t="inlineStr">
        <is>
          <t>REQ-KON-06</t>
        </is>
      </c>
      <c r="B53" t="inlineStr">
        <is>
          <t>Po wysłaniu poprawnego formularza wiadomość jest zapisywana i wyświetlany jest komunikat „Dzięk…</t>
        </is>
      </c>
      <c r="C53" t="inlineStr">
        <is>
          <t>Średni</t>
        </is>
      </c>
      <c r="E53">
        <f>IF(A53="","",COUNTIF('Przypadki testowe'!$C$2:$C$300,"*"&amp;A53&amp;"*"))</f>
        <v/>
      </c>
      <c r="F53">
        <f>IF(A53="","",COUNTIFS('Przypadki testowe'!$C$2:$C$300,"*"&amp;A53&amp;"*",'Przypadki testowe'!$K$2:$K$300,"Zaliczony"))</f>
        <v/>
      </c>
      <c r="G53">
        <f>IF(A53="","",COUNTIFS('Przypadki testowe'!$C$2:$C$300,"*"&amp;A53&amp;"*",'Przypadki testowe'!$K$2:$K$300,"Niezaliczony"))</f>
        <v/>
      </c>
      <c r="H53">
        <f>IF(A53="","",IF(E53&gt;0,"Pokryte","BRAK"))</f>
        <v/>
      </c>
      <c r="I53" t="inlineStr">
        <is>
          <t>Poza zakresem ćw. 1 – przypadki na kolejnych zajęciach</t>
        </is>
      </c>
    </row>
    <row r="54">
      <c r="E54">
        <f>IF(A54="","",COUNTIF('Przypadki testowe'!$C$2:$C$300,"*"&amp;A54&amp;"*"))</f>
        <v/>
      </c>
      <c r="F54">
        <f>IF(A54="","",COUNTIFS('Przypadki testowe'!$C$2:$C$300,"*"&amp;A54&amp;"*",'Przypadki testowe'!$K$2:$K$300,"Zaliczony"))</f>
        <v/>
      </c>
      <c r="G54">
        <f>IF(A54="","",COUNTIFS('Przypadki testowe'!$C$2:$C$300,"*"&amp;A54&amp;"*",'Przypadki testowe'!$K$2:$K$300,"Niezaliczony"))</f>
        <v/>
      </c>
      <c r="H54">
        <f>IF(A54="","",IF(E54&gt;0,"Pokryte","BRAK"))</f>
        <v/>
      </c>
    </row>
    <row r="55">
      <c r="E55">
        <f>IF(A55="","",COUNTIF('Przypadki testowe'!$C$2:$C$300,"*"&amp;A55&amp;"*"))</f>
        <v/>
      </c>
      <c r="F55">
        <f>IF(A55="","",COUNTIFS('Przypadki testowe'!$C$2:$C$300,"*"&amp;A55&amp;"*",'Przypadki testowe'!$K$2:$K$300,"Zaliczony"))</f>
        <v/>
      </c>
      <c r="G55">
        <f>IF(A55="","",COUNTIFS('Przypadki testowe'!$C$2:$C$300,"*"&amp;A55&amp;"*",'Przypadki testowe'!$K$2:$K$300,"Niezaliczony"))</f>
        <v/>
      </c>
      <c r="H55">
        <f>IF(A55="","",IF(E55&gt;0,"Pokryte","BRAK"))</f>
        <v/>
      </c>
    </row>
    <row r="56">
      <c r="E56">
        <f>IF(A56="","",COUNTIF('Przypadki testowe'!$C$2:$C$300,"*"&amp;A56&amp;"*"))</f>
        <v/>
      </c>
      <c r="F56">
        <f>IF(A56="","",COUNTIFS('Przypadki testowe'!$C$2:$C$300,"*"&amp;A56&amp;"*",'Przypadki testowe'!$K$2:$K$300,"Zaliczony"))</f>
        <v/>
      </c>
      <c r="G56">
        <f>IF(A56="","",COUNTIFS('Przypadki testowe'!$C$2:$C$300,"*"&amp;A56&amp;"*",'Przypadki testowe'!$K$2:$K$300,"Niezaliczony"))</f>
        <v/>
      </c>
      <c r="H56">
        <f>IF(A56="","",IF(E56&gt;0,"Pokryte","BRAK"))</f>
        <v/>
      </c>
    </row>
    <row r="57">
      <c r="E57">
        <f>IF(A57="","",COUNTIF('Przypadki testowe'!$C$2:$C$300,"*"&amp;A57&amp;"*"))</f>
        <v/>
      </c>
      <c r="F57">
        <f>IF(A57="","",COUNTIFS('Przypadki testowe'!$C$2:$C$300,"*"&amp;A57&amp;"*",'Przypadki testowe'!$K$2:$K$300,"Zaliczony"))</f>
        <v/>
      </c>
      <c r="G57">
        <f>IF(A57="","",COUNTIFS('Przypadki testowe'!$C$2:$C$300,"*"&amp;A57&amp;"*",'Przypadki testowe'!$K$2:$K$300,"Niezaliczony"))</f>
        <v/>
      </c>
      <c r="H57">
        <f>IF(A57="","",IF(E57&gt;0,"Pokryte","BRAK"))</f>
        <v/>
      </c>
    </row>
    <row r="58">
      <c r="E58">
        <f>IF(A58="","",COUNTIF('Przypadki testowe'!$C$2:$C$300,"*"&amp;A58&amp;"*"))</f>
        <v/>
      </c>
      <c r="F58">
        <f>IF(A58="","",COUNTIFS('Przypadki testowe'!$C$2:$C$300,"*"&amp;A58&amp;"*",'Przypadki testowe'!$K$2:$K$300,"Zaliczony"))</f>
        <v/>
      </c>
      <c r="G58">
        <f>IF(A58="","",COUNTIFS('Przypadki testowe'!$C$2:$C$300,"*"&amp;A58&amp;"*",'Przypadki testowe'!$K$2:$K$300,"Niezaliczony"))</f>
        <v/>
      </c>
      <c r="H58">
        <f>IF(A58="","",IF(E58&gt;0,"Pokryte","BRAK"))</f>
        <v/>
      </c>
    </row>
    <row r="59">
      <c r="E59">
        <f>IF(A59="","",COUNTIF('Przypadki testowe'!$C$2:$C$300,"*"&amp;A59&amp;"*"))</f>
        <v/>
      </c>
      <c r="F59">
        <f>IF(A59="","",COUNTIFS('Przypadki testowe'!$C$2:$C$300,"*"&amp;A59&amp;"*",'Przypadki testowe'!$K$2:$K$300,"Zaliczony"))</f>
        <v/>
      </c>
      <c r="G59">
        <f>IF(A59="","",COUNTIFS('Przypadki testowe'!$C$2:$C$300,"*"&amp;A59&amp;"*",'Przypadki testowe'!$K$2:$K$300,"Niezaliczony"))</f>
        <v/>
      </c>
      <c r="H59">
        <f>IF(A59="","",IF(E59&gt;0,"Pokryte","BRAK"))</f>
        <v/>
      </c>
    </row>
    <row r="60">
      <c r="E60">
        <f>IF(A60="","",COUNTIF('Przypadki testowe'!$C$2:$C$300,"*"&amp;A60&amp;"*"))</f>
        <v/>
      </c>
      <c r="F60">
        <f>IF(A60="","",COUNTIFS('Przypadki testowe'!$C$2:$C$300,"*"&amp;A60&amp;"*",'Przypadki testowe'!$K$2:$K$300,"Zaliczony"))</f>
        <v/>
      </c>
      <c r="G60">
        <f>IF(A60="","",COUNTIFS('Przypadki testowe'!$C$2:$C$300,"*"&amp;A60&amp;"*",'Przypadki testowe'!$K$2:$K$300,"Niezaliczony"))</f>
        <v/>
      </c>
      <c r="H60">
        <f>IF(A60="","",IF(E60&gt;0,"Pokryte","BRAK"))</f>
        <v/>
      </c>
    </row>
    <row r="61">
      <c r="E61">
        <f>IF(A61="","",COUNTIF('Przypadki testowe'!$C$2:$C$300,"*"&amp;A61&amp;"*"))</f>
        <v/>
      </c>
      <c r="F61">
        <f>IF(A61="","",COUNTIFS('Przypadki testowe'!$C$2:$C$300,"*"&amp;A61&amp;"*",'Przypadki testowe'!$K$2:$K$300,"Zaliczony"))</f>
        <v/>
      </c>
      <c r="G61">
        <f>IF(A61="","",COUNTIFS('Przypadki testowe'!$C$2:$C$300,"*"&amp;A61&amp;"*",'Przypadki testowe'!$K$2:$K$300,"Niezaliczony"))</f>
        <v/>
      </c>
      <c r="H61">
        <f>IF(A61="","",IF(E61&gt;0,"Pokryte","BRAK"))</f>
        <v/>
      </c>
    </row>
    <row r="62">
      <c r="E62">
        <f>IF(A62="","",COUNTIF('Przypadki testowe'!$C$2:$C$300,"*"&amp;A62&amp;"*"))</f>
        <v/>
      </c>
      <c r="F62">
        <f>IF(A62="","",COUNTIFS('Przypadki testowe'!$C$2:$C$300,"*"&amp;A62&amp;"*",'Przypadki testowe'!$K$2:$K$300,"Zaliczony"))</f>
        <v/>
      </c>
      <c r="G62">
        <f>IF(A62="","",COUNTIFS('Przypadki testowe'!$C$2:$C$300,"*"&amp;A62&amp;"*",'Przypadki testowe'!$K$2:$K$300,"Niezaliczony"))</f>
        <v/>
      </c>
      <c r="H62">
        <f>IF(A62="","",IF(E62&gt;0,"Pokryte","BRAK"))</f>
        <v/>
      </c>
    </row>
    <row r="63">
      <c r="E63">
        <f>IF(A63="","",COUNTIF('Przypadki testowe'!$C$2:$C$300,"*"&amp;A63&amp;"*"))</f>
        <v/>
      </c>
      <c r="F63">
        <f>IF(A63="","",COUNTIFS('Przypadki testowe'!$C$2:$C$300,"*"&amp;A63&amp;"*",'Przypadki testowe'!$K$2:$K$300,"Zaliczony"))</f>
        <v/>
      </c>
      <c r="G63">
        <f>IF(A63="","",COUNTIFS('Przypadki testowe'!$C$2:$C$300,"*"&amp;A63&amp;"*",'Przypadki testowe'!$K$2:$K$300,"Niezaliczony"))</f>
        <v/>
      </c>
      <c r="H63">
        <f>IF(A63="","",IF(E63&gt;0,"Pokryte","BRAK"))</f>
        <v/>
      </c>
    </row>
    <row r="64">
      <c r="E64">
        <f>IF(A64="","",COUNTIF('Przypadki testowe'!$C$2:$C$300,"*"&amp;A64&amp;"*"))</f>
        <v/>
      </c>
      <c r="F64">
        <f>IF(A64="","",COUNTIFS('Przypadki testowe'!$C$2:$C$300,"*"&amp;A64&amp;"*",'Przypadki testowe'!$K$2:$K$300,"Zaliczony"))</f>
        <v/>
      </c>
      <c r="G64">
        <f>IF(A64="","",COUNTIFS('Przypadki testowe'!$C$2:$C$300,"*"&amp;A64&amp;"*",'Przypadki testowe'!$K$2:$K$300,"Niezaliczony"))</f>
        <v/>
      </c>
      <c r="H64">
        <f>IF(A64="","",IF(E64&gt;0,"Pokryte","BRAK"))</f>
        <v/>
      </c>
    </row>
    <row r="65">
      <c r="E65">
        <f>IF(A65="","",COUNTIF('Przypadki testowe'!$C$2:$C$300,"*"&amp;A65&amp;"*"))</f>
        <v/>
      </c>
      <c r="F65">
        <f>IF(A65="","",COUNTIFS('Przypadki testowe'!$C$2:$C$300,"*"&amp;A65&amp;"*",'Przypadki testowe'!$K$2:$K$300,"Zaliczony"))</f>
        <v/>
      </c>
      <c r="G65">
        <f>IF(A65="","",COUNTIFS('Przypadki testowe'!$C$2:$C$300,"*"&amp;A65&amp;"*",'Przypadki testowe'!$K$2:$K$300,"Niezaliczony"))</f>
        <v/>
      </c>
      <c r="H65">
        <f>IF(A65="","",IF(E65&gt;0,"Pokryte","BRAK"))</f>
        <v/>
      </c>
    </row>
    <row r="66">
      <c r="E66">
        <f>IF(A66="","",COUNTIF('Przypadki testowe'!$C$2:$C$300,"*"&amp;A66&amp;"*"))</f>
        <v/>
      </c>
      <c r="F66">
        <f>IF(A66="","",COUNTIFS('Przypadki testowe'!$C$2:$C$300,"*"&amp;A66&amp;"*",'Przypadki testowe'!$K$2:$K$300,"Zaliczony"))</f>
        <v/>
      </c>
      <c r="G66">
        <f>IF(A66="","",COUNTIFS('Przypadki testowe'!$C$2:$C$300,"*"&amp;A66&amp;"*",'Przypadki testowe'!$K$2:$K$300,"Niezaliczony"))</f>
        <v/>
      </c>
      <c r="H66">
        <f>IF(A66="","",IF(E66&gt;0,"Pokryte","BRAK"))</f>
        <v/>
      </c>
    </row>
    <row r="67">
      <c r="E67">
        <f>IF(A67="","",COUNTIF('Przypadki testowe'!$C$2:$C$300,"*"&amp;A67&amp;"*"))</f>
        <v/>
      </c>
      <c r="F67">
        <f>IF(A67="","",COUNTIFS('Przypadki testowe'!$C$2:$C$300,"*"&amp;A67&amp;"*",'Przypadki testowe'!$K$2:$K$300,"Zaliczony"))</f>
        <v/>
      </c>
      <c r="G67">
        <f>IF(A67="","",COUNTIFS('Przypadki testowe'!$C$2:$C$300,"*"&amp;A67&amp;"*",'Przypadki testowe'!$K$2:$K$300,"Niezaliczony"))</f>
        <v/>
      </c>
      <c r="H67">
        <f>IF(A67="","",IF(E67&gt;0,"Pokryte","BRAK"))</f>
        <v/>
      </c>
    </row>
    <row r="68">
      <c r="E68">
        <f>IF(A68="","",COUNTIF('Przypadki testowe'!$C$2:$C$300,"*"&amp;A68&amp;"*"))</f>
        <v/>
      </c>
      <c r="F68">
        <f>IF(A68="","",COUNTIFS('Przypadki testowe'!$C$2:$C$300,"*"&amp;A68&amp;"*",'Przypadki testowe'!$K$2:$K$300,"Zaliczony"))</f>
        <v/>
      </c>
      <c r="G68">
        <f>IF(A68="","",COUNTIFS('Przypadki testowe'!$C$2:$C$300,"*"&amp;A68&amp;"*",'Przypadki testowe'!$K$2:$K$300,"Niezaliczony"))</f>
        <v/>
      </c>
      <c r="H68">
        <f>IF(A68="","",IF(E68&gt;0,"Pokryte","BRAK"))</f>
        <v/>
      </c>
    </row>
    <row r="69">
      <c r="E69">
        <f>IF(A69="","",COUNTIF('Przypadki testowe'!$C$2:$C$300,"*"&amp;A69&amp;"*"))</f>
        <v/>
      </c>
      <c r="F69">
        <f>IF(A69="","",COUNTIFS('Przypadki testowe'!$C$2:$C$300,"*"&amp;A69&amp;"*",'Przypadki testowe'!$K$2:$K$300,"Zaliczony"))</f>
        <v/>
      </c>
      <c r="G69">
        <f>IF(A69="","",COUNTIFS('Przypadki testowe'!$C$2:$C$300,"*"&amp;A69&amp;"*",'Przypadki testowe'!$K$2:$K$300,"Niezaliczony"))</f>
        <v/>
      </c>
      <c r="H69">
        <f>IF(A69="","",IF(E69&gt;0,"Pokryte","BRAK"))</f>
        <v/>
      </c>
    </row>
    <row r="70">
      <c r="E70">
        <f>IF(A70="","",COUNTIF('Przypadki testowe'!$C$2:$C$300,"*"&amp;A70&amp;"*"))</f>
        <v/>
      </c>
      <c r="F70">
        <f>IF(A70="","",COUNTIFS('Przypadki testowe'!$C$2:$C$300,"*"&amp;A70&amp;"*",'Przypadki testowe'!$K$2:$K$300,"Zaliczony"))</f>
        <v/>
      </c>
      <c r="G70">
        <f>IF(A70="","",COUNTIFS('Przypadki testowe'!$C$2:$C$300,"*"&amp;A70&amp;"*",'Przypadki testowe'!$K$2:$K$300,"Niezaliczony"))</f>
        <v/>
      </c>
      <c r="H70">
        <f>IF(A70="","",IF(E70&gt;0,"Pokryte","BRAK"))</f>
        <v/>
      </c>
    </row>
    <row r="71">
      <c r="E71">
        <f>IF(A71="","",COUNTIF('Przypadki testowe'!$C$2:$C$300,"*"&amp;A71&amp;"*"))</f>
        <v/>
      </c>
      <c r="F71">
        <f>IF(A71="","",COUNTIFS('Przypadki testowe'!$C$2:$C$300,"*"&amp;A71&amp;"*",'Przypadki testowe'!$K$2:$K$300,"Zaliczony"))</f>
        <v/>
      </c>
      <c r="G71">
        <f>IF(A71="","",COUNTIFS('Przypadki testowe'!$C$2:$C$300,"*"&amp;A71&amp;"*",'Przypadki testowe'!$K$2:$K$300,"Niezaliczony"))</f>
        <v/>
      </c>
      <c r="H71">
        <f>IF(A71="","",IF(E71&gt;0,"Pokryte","BRAK"))</f>
        <v/>
      </c>
    </row>
    <row r="72">
      <c r="E72">
        <f>IF(A72="","",COUNTIF('Przypadki testowe'!$C$2:$C$300,"*"&amp;A72&amp;"*"))</f>
        <v/>
      </c>
      <c r="F72">
        <f>IF(A72="","",COUNTIFS('Przypadki testowe'!$C$2:$C$300,"*"&amp;A72&amp;"*",'Przypadki testowe'!$K$2:$K$300,"Zaliczony"))</f>
        <v/>
      </c>
      <c r="G72">
        <f>IF(A72="","",COUNTIFS('Przypadki testowe'!$C$2:$C$300,"*"&amp;A72&amp;"*",'Przypadki testowe'!$K$2:$K$300,"Niezaliczony"))</f>
        <v/>
      </c>
      <c r="H72">
        <f>IF(A72="","",IF(E72&gt;0,"Pokryte","BRAK"))</f>
        <v/>
      </c>
    </row>
    <row r="73">
      <c r="E73">
        <f>IF(A73="","",COUNTIF('Przypadki testowe'!$C$2:$C$300,"*"&amp;A73&amp;"*"))</f>
        <v/>
      </c>
      <c r="F73">
        <f>IF(A73="","",COUNTIFS('Przypadki testowe'!$C$2:$C$300,"*"&amp;A73&amp;"*",'Przypadki testowe'!$K$2:$K$300,"Zaliczony"))</f>
        <v/>
      </c>
      <c r="G73">
        <f>IF(A73="","",COUNTIFS('Przypadki testowe'!$C$2:$C$300,"*"&amp;A73&amp;"*",'Przypadki testowe'!$K$2:$K$300,"Niezaliczony"))</f>
        <v/>
      </c>
      <c r="H73">
        <f>IF(A73="","",IF(E73&gt;0,"Pokryte","BRAK"))</f>
        <v/>
      </c>
    </row>
    <row r="74">
      <c r="E74">
        <f>IF(A74="","",COUNTIF('Przypadki testowe'!$C$2:$C$300,"*"&amp;A74&amp;"*"))</f>
        <v/>
      </c>
      <c r="F74">
        <f>IF(A74="","",COUNTIFS('Przypadki testowe'!$C$2:$C$300,"*"&amp;A74&amp;"*",'Przypadki testowe'!$K$2:$K$300,"Zaliczony"))</f>
        <v/>
      </c>
      <c r="G74">
        <f>IF(A74="","",COUNTIFS('Przypadki testowe'!$C$2:$C$300,"*"&amp;A74&amp;"*",'Przypadki testowe'!$K$2:$K$300,"Niezaliczony"))</f>
        <v/>
      </c>
      <c r="H74">
        <f>IF(A74="","",IF(E74&gt;0,"Pokryte","BRAK"))</f>
        <v/>
      </c>
    </row>
    <row r="75">
      <c r="E75">
        <f>IF(A75="","",COUNTIF('Przypadki testowe'!$C$2:$C$300,"*"&amp;A75&amp;"*"))</f>
        <v/>
      </c>
      <c r="F75">
        <f>IF(A75="","",COUNTIFS('Przypadki testowe'!$C$2:$C$300,"*"&amp;A75&amp;"*",'Przypadki testowe'!$K$2:$K$300,"Zaliczony"))</f>
        <v/>
      </c>
      <c r="G75">
        <f>IF(A75="","",COUNTIFS('Przypadki testowe'!$C$2:$C$300,"*"&amp;A75&amp;"*",'Przypadki testowe'!$K$2:$K$300,"Niezaliczony"))</f>
        <v/>
      </c>
      <c r="H75">
        <f>IF(A75="","",IF(E75&gt;0,"Pokryte","BRAK"))</f>
        <v/>
      </c>
    </row>
    <row r="76">
      <c r="E76">
        <f>IF(A76="","",COUNTIF('Przypadki testowe'!$C$2:$C$300,"*"&amp;A76&amp;"*"))</f>
        <v/>
      </c>
      <c r="F76">
        <f>IF(A76="","",COUNTIFS('Przypadki testowe'!$C$2:$C$300,"*"&amp;A76&amp;"*",'Przypadki testowe'!$K$2:$K$300,"Zaliczony"))</f>
        <v/>
      </c>
      <c r="G76">
        <f>IF(A76="","",COUNTIFS('Przypadki testowe'!$C$2:$C$300,"*"&amp;A76&amp;"*",'Przypadki testowe'!$K$2:$K$300,"Niezaliczony"))</f>
        <v/>
      </c>
      <c r="H76">
        <f>IF(A76="","",IF(E76&gt;0,"Pokryte","BRAK"))</f>
        <v/>
      </c>
    </row>
    <row r="77">
      <c r="E77">
        <f>IF(A77="","",COUNTIF('Przypadki testowe'!$C$2:$C$300,"*"&amp;A77&amp;"*"))</f>
        <v/>
      </c>
      <c r="F77">
        <f>IF(A77="","",COUNTIFS('Przypadki testowe'!$C$2:$C$300,"*"&amp;A77&amp;"*",'Przypadki testowe'!$K$2:$K$300,"Zaliczony"))</f>
        <v/>
      </c>
      <c r="G77">
        <f>IF(A77="","",COUNTIFS('Przypadki testowe'!$C$2:$C$300,"*"&amp;A77&amp;"*",'Przypadki testowe'!$K$2:$K$300,"Niezaliczony"))</f>
        <v/>
      </c>
      <c r="H77">
        <f>IF(A77="","",IF(E77&gt;0,"Pokryte","BRAK"))</f>
        <v/>
      </c>
    </row>
    <row r="78">
      <c r="E78">
        <f>IF(A78="","",COUNTIF('Przypadki testowe'!$C$2:$C$300,"*"&amp;A78&amp;"*"))</f>
        <v/>
      </c>
      <c r="F78">
        <f>IF(A78="","",COUNTIFS('Przypadki testowe'!$C$2:$C$300,"*"&amp;A78&amp;"*",'Przypadki testowe'!$K$2:$K$300,"Zaliczony"))</f>
        <v/>
      </c>
      <c r="G78">
        <f>IF(A78="","",COUNTIFS('Przypadki testowe'!$C$2:$C$300,"*"&amp;A78&amp;"*",'Przypadki testowe'!$K$2:$K$300,"Niezaliczony"))</f>
        <v/>
      </c>
      <c r="H78">
        <f>IF(A78="","",IF(E78&gt;0,"Pokryte","BRAK"))</f>
        <v/>
      </c>
    </row>
    <row r="79">
      <c r="E79">
        <f>IF(A79="","",COUNTIF('Przypadki testowe'!$C$2:$C$300,"*"&amp;A79&amp;"*"))</f>
        <v/>
      </c>
      <c r="F79">
        <f>IF(A79="","",COUNTIFS('Przypadki testowe'!$C$2:$C$300,"*"&amp;A79&amp;"*",'Przypadki testowe'!$K$2:$K$300,"Zaliczony"))</f>
        <v/>
      </c>
      <c r="G79">
        <f>IF(A79="","",COUNTIFS('Przypadki testowe'!$C$2:$C$300,"*"&amp;A79&amp;"*",'Przypadki testowe'!$K$2:$K$300,"Niezaliczony"))</f>
        <v/>
      </c>
      <c r="H79">
        <f>IF(A79="","",IF(E79&gt;0,"Pokryte","BRAK"))</f>
        <v/>
      </c>
    </row>
    <row r="80">
      <c r="E80">
        <f>IF(A80="","",COUNTIF('Przypadki testowe'!$C$2:$C$300,"*"&amp;A80&amp;"*"))</f>
        <v/>
      </c>
      <c r="F80">
        <f>IF(A80="","",COUNTIFS('Przypadki testowe'!$C$2:$C$300,"*"&amp;A80&amp;"*",'Przypadki testowe'!$K$2:$K$300,"Zaliczony"))</f>
        <v/>
      </c>
      <c r="G80">
        <f>IF(A80="","",COUNTIFS('Przypadki testowe'!$C$2:$C$300,"*"&amp;A80&amp;"*",'Przypadki testowe'!$K$2:$K$300,"Niezaliczony"))</f>
        <v/>
      </c>
      <c r="H80">
        <f>IF(A80="","",IF(E80&gt;0,"Pokryte","BRAK"))</f>
        <v/>
      </c>
    </row>
    <row r="81">
      <c r="E81">
        <f>IF(A81="","",COUNTIF('Przypadki testowe'!$C$2:$C$300,"*"&amp;A81&amp;"*"))</f>
        <v/>
      </c>
      <c r="F81">
        <f>IF(A81="","",COUNTIFS('Przypadki testowe'!$C$2:$C$300,"*"&amp;A81&amp;"*",'Przypadki testowe'!$K$2:$K$300,"Zaliczony"))</f>
        <v/>
      </c>
      <c r="G81">
        <f>IF(A81="","",COUNTIFS('Przypadki testowe'!$C$2:$C$300,"*"&amp;A81&amp;"*",'Przypadki testowe'!$K$2:$K$300,"Niezaliczony"))</f>
        <v/>
      </c>
      <c r="H81">
        <f>IF(A81="","",IF(E81&gt;0,"Pokryte","BRAK"))</f>
        <v/>
      </c>
    </row>
    <row r="82">
      <c r="E82">
        <f>IF(A82="","",COUNTIF('Przypadki testowe'!$C$2:$C$300,"*"&amp;A82&amp;"*"))</f>
        <v/>
      </c>
      <c r="F82">
        <f>IF(A82="","",COUNTIFS('Przypadki testowe'!$C$2:$C$300,"*"&amp;A82&amp;"*",'Przypadki testowe'!$K$2:$K$300,"Zaliczony"))</f>
        <v/>
      </c>
      <c r="G82">
        <f>IF(A82="","",COUNTIFS('Przypadki testowe'!$C$2:$C$300,"*"&amp;A82&amp;"*",'Przypadki testowe'!$K$2:$K$300,"Niezaliczony"))</f>
        <v/>
      </c>
      <c r="H82">
        <f>IF(A82="","",IF(E82&gt;0,"Pokryte","BRAK"))</f>
        <v/>
      </c>
    </row>
    <row r="83">
      <c r="E83">
        <f>IF(A83="","",COUNTIF('Przypadki testowe'!$C$2:$C$300,"*"&amp;A83&amp;"*"))</f>
        <v/>
      </c>
      <c r="F83">
        <f>IF(A83="","",COUNTIFS('Przypadki testowe'!$C$2:$C$300,"*"&amp;A83&amp;"*",'Przypadki testowe'!$K$2:$K$300,"Zaliczony"))</f>
        <v/>
      </c>
      <c r="G83">
        <f>IF(A83="","",COUNTIFS('Przypadki testowe'!$C$2:$C$300,"*"&amp;A83&amp;"*",'Przypadki testowe'!$K$2:$K$300,"Niezaliczony"))</f>
        <v/>
      </c>
      <c r="H83">
        <f>IF(A83="","",IF(E83&gt;0,"Pokryte","BRAK"))</f>
        <v/>
      </c>
    </row>
    <row r="84">
      <c r="E84">
        <f>IF(A84="","",COUNTIF('Przypadki testowe'!$C$2:$C$300,"*"&amp;A84&amp;"*"))</f>
        <v/>
      </c>
      <c r="F84">
        <f>IF(A84="","",COUNTIFS('Przypadki testowe'!$C$2:$C$300,"*"&amp;A84&amp;"*",'Przypadki testowe'!$K$2:$K$300,"Zaliczony"))</f>
        <v/>
      </c>
      <c r="G84">
        <f>IF(A84="","",COUNTIFS('Przypadki testowe'!$C$2:$C$300,"*"&amp;A84&amp;"*",'Przypadki testowe'!$K$2:$K$300,"Niezaliczony"))</f>
        <v/>
      </c>
      <c r="H84">
        <f>IF(A84="","",IF(E84&gt;0,"Pokryte","BRAK"))</f>
        <v/>
      </c>
    </row>
    <row r="85">
      <c r="E85">
        <f>IF(A85="","",COUNTIF('Przypadki testowe'!$C$2:$C$300,"*"&amp;A85&amp;"*"))</f>
        <v/>
      </c>
      <c r="F85">
        <f>IF(A85="","",COUNTIFS('Przypadki testowe'!$C$2:$C$300,"*"&amp;A85&amp;"*",'Przypadki testowe'!$K$2:$K$300,"Zaliczony"))</f>
        <v/>
      </c>
      <c r="G85">
        <f>IF(A85="","",COUNTIFS('Przypadki testowe'!$C$2:$C$300,"*"&amp;A85&amp;"*",'Przypadki testowe'!$K$2:$K$300,"Niezaliczony"))</f>
        <v/>
      </c>
      <c r="H85">
        <f>IF(A85="","",IF(E85&gt;0,"Pokryte","BRAK"))</f>
        <v/>
      </c>
    </row>
    <row r="86">
      <c r="E86">
        <f>IF(A86="","",COUNTIF('Przypadki testowe'!$C$2:$C$300,"*"&amp;A86&amp;"*"))</f>
        <v/>
      </c>
      <c r="F86">
        <f>IF(A86="","",COUNTIFS('Przypadki testowe'!$C$2:$C$300,"*"&amp;A86&amp;"*",'Przypadki testowe'!$K$2:$K$300,"Zaliczony"))</f>
        <v/>
      </c>
      <c r="G86">
        <f>IF(A86="","",COUNTIFS('Przypadki testowe'!$C$2:$C$300,"*"&amp;A86&amp;"*",'Przypadki testowe'!$K$2:$K$300,"Niezaliczony"))</f>
        <v/>
      </c>
      <c r="H86">
        <f>IF(A86="","",IF(E86&gt;0,"Pokryte","BRAK"))</f>
        <v/>
      </c>
    </row>
    <row r="87">
      <c r="E87">
        <f>IF(A87="","",COUNTIF('Przypadki testowe'!$C$2:$C$300,"*"&amp;A87&amp;"*"))</f>
        <v/>
      </c>
      <c r="F87">
        <f>IF(A87="","",COUNTIFS('Przypadki testowe'!$C$2:$C$300,"*"&amp;A87&amp;"*",'Przypadki testowe'!$K$2:$K$300,"Zaliczony"))</f>
        <v/>
      </c>
      <c r="G87">
        <f>IF(A87="","",COUNTIFS('Przypadki testowe'!$C$2:$C$300,"*"&amp;A87&amp;"*",'Przypadki testowe'!$K$2:$K$300,"Niezaliczony"))</f>
        <v/>
      </c>
      <c r="H87">
        <f>IF(A87="","",IF(E87&gt;0,"Pokryte","BRAK"))</f>
        <v/>
      </c>
    </row>
    <row r="88">
      <c r="E88">
        <f>IF(A88="","",COUNTIF('Przypadki testowe'!$C$2:$C$300,"*"&amp;A88&amp;"*"))</f>
        <v/>
      </c>
      <c r="F88">
        <f>IF(A88="","",COUNTIFS('Przypadki testowe'!$C$2:$C$300,"*"&amp;A88&amp;"*",'Przypadki testowe'!$K$2:$K$300,"Zaliczony"))</f>
        <v/>
      </c>
      <c r="G88">
        <f>IF(A88="","",COUNTIFS('Przypadki testowe'!$C$2:$C$300,"*"&amp;A88&amp;"*",'Przypadki testowe'!$K$2:$K$300,"Niezaliczony"))</f>
        <v/>
      </c>
      <c r="H88">
        <f>IF(A88="","",IF(E88&gt;0,"Pokryte","BRAK"))</f>
        <v/>
      </c>
    </row>
    <row r="89">
      <c r="E89">
        <f>IF(A89="","",COUNTIF('Przypadki testowe'!$C$2:$C$300,"*"&amp;A89&amp;"*"))</f>
        <v/>
      </c>
      <c r="F89">
        <f>IF(A89="","",COUNTIFS('Przypadki testowe'!$C$2:$C$300,"*"&amp;A89&amp;"*",'Przypadki testowe'!$K$2:$K$300,"Zaliczony"))</f>
        <v/>
      </c>
      <c r="G89">
        <f>IF(A89="","",COUNTIFS('Przypadki testowe'!$C$2:$C$300,"*"&amp;A89&amp;"*",'Przypadki testowe'!$K$2:$K$300,"Niezaliczony"))</f>
        <v/>
      </c>
      <c r="H89">
        <f>IF(A89="","",IF(E89&gt;0,"Pokryte","BRAK"))</f>
        <v/>
      </c>
    </row>
    <row r="90">
      <c r="E90">
        <f>IF(A90="","",COUNTIF('Przypadki testowe'!$C$2:$C$300,"*"&amp;A90&amp;"*"))</f>
        <v/>
      </c>
      <c r="F90">
        <f>IF(A90="","",COUNTIFS('Przypadki testowe'!$C$2:$C$300,"*"&amp;A90&amp;"*",'Przypadki testowe'!$K$2:$K$300,"Zaliczony"))</f>
        <v/>
      </c>
      <c r="G90">
        <f>IF(A90="","",COUNTIFS('Przypadki testowe'!$C$2:$C$300,"*"&amp;A90&amp;"*",'Przypadki testowe'!$K$2:$K$300,"Niezaliczony"))</f>
        <v/>
      </c>
      <c r="H90">
        <f>IF(A90="","",IF(E90&gt;0,"Pokryte","BRAK"))</f>
        <v/>
      </c>
    </row>
    <row r="91">
      <c r="E91">
        <f>IF(A91="","",COUNTIF('Przypadki testowe'!$C$2:$C$300,"*"&amp;A91&amp;"*"))</f>
        <v/>
      </c>
      <c r="F91">
        <f>IF(A91="","",COUNTIFS('Przypadki testowe'!$C$2:$C$300,"*"&amp;A91&amp;"*",'Przypadki testowe'!$K$2:$K$300,"Zaliczony"))</f>
        <v/>
      </c>
      <c r="G91">
        <f>IF(A91="","",COUNTIFS('Przypadki testowe'!$C$2:$C$300,"*"&amp;A91&amp;"*",'Przypadki testowe'!$K$2:$K$300,"Niezaliczony"))</f>
        <v/>
      </c>
      <c r="H91">
        <f>IF(A91="","",IF(E91&gt;0,"Pokryte","BRAK"))</f>
        <v/>
      </c>
    </row>
    <row r="92">
      <c r="E92">
        <f>IF(A92="","",COUNTIF('Przypadki testowe'!$C$2:$C$300,"*"&amp;A92&amp;"*"))</f>
        <v/>
      </c>
      <c r="F92">
        <f>IF(A92="","",COUNTIFS('Przypadki testowe'!$C$2:$C$300,"*"&amp;A92&amp;"*",'Przypadki testowe'!$K$2:$K$300,"Zaliczony"))</f>
        <v/>
      </c>
      <c r="G92">
        <f>IF(A92="","",COUNTIFS('Przypadki testowe'!$C$2:$C$300,"*"&amp;A92&amp;"*",'Przypadki testowe'!$K$2:$K$300,"Niezaliczony"))</f>
        <v/>
      </c>
      <c r="H92">
        <f>IF(A92="","",IF(E92&gt;0,"Pokryte","BRAK"))</f>
        <v/>
      </c>
    </row>
    <row r="93">
      <c r="E93">
        <f>IF(A93="","",COUNTIF('Przypadki testowe'!$C$2:$C$300,"*"&amp;A93&amp;"*"))</f>
        <v/>
      </c>
      <c r="F93">
        <f>IF(A93="","",COUNTIFS('Przypadki testowe'!$C$2:$C$300,"*"&amp;A93&amp;"*",'Przypadki testowe'!$K$2:$K$300,"Zaliczony"))</f>
        <v/>
      </c>
      <c r="G93">
        <f>IF(A93="","",COUNTIFS('Przypadki testowe'!$C$2:$C$300,"*"&amp;A93&amp;"*",'Przypadki testowe'!$K$2:$K$300,"Niezaliczony"))</f>
        <v/>
      </c>
      <c r="H93">
        <f>IF(A93="","",IF(E93&gt;0,"Pokryte","BRAK"))</f>
        <v/>
      </c>
    </row>
    <row r="94">
      <c r="E94">
        <f>IF(A94="","",COUNTIF('Przypadki testowe'!$C$2:$C$300,"*"&amp;A94&amp;"*"))</f>
        <v/>
      </c>
      <c r="F94">
        <f>IF(A94="","",COUNTIFS('Przypadki testowe'!$C$2:$C$300,"*"&amp;A94&amp;"*",'Przypadki testowe'!$K$2:$K$300,"Zaliczony"))</f>
        <v/>
      </c>
      <c r="G94">
        <f>IF(A94="","",COUNTIFS('Przypadki testowe'!$C$2:$C$300,"*"&amp;A94&amp;"*",'Przypadki testowe'!$K$2:$K$300,"Niezaliczony"))</f>
        <v/>
      </c>
      <c r="H94">
        <f>IF(A94="","",IF(E94&gt;0,"Pokryte","BRAK"))</f>
        <v/>
      </c>
    </row>
    <row r="95">
      <c r="E95">
        <f>IF(A95="","",COUNTIF('Przypadki testowe'!$C$2:$C$300,"*"&amp;A95&amp;"*"))</f>
        <v/>
      </c>
      <c r="F95">
        <f>IF(A95="","",COUNTIFS('Przypadki testowe'!$C$2:$C$300,"*"&amp;A95&amp;"*",'Przypadki testowe'!$K$2:$K$300,"Zaliczony"))</f>
        <v/>
      </c>
      <c r="G95">
        <f>IF(A95="","",COUNTIFS('Przypadki testowe'!$C$2:$C$300,"*"&amp;A95&amp;"*",'Przypadki testowe'!$K$2:$K$300,"Niezaliczony"))</f>
        <v/>
      </c>
      <c r="H95">
        <f>IF(A95="","",IF(E95&gt;0,"Pokryte","BRAK"))</f>
        <v/>
      </c>
    </row>
    <row r="96">
      <c r="E96">
        <f>IF(A96="","",COUNTIF('Przypadki testowe'!$C$2:$C$300,"*"&amp;A96&amp;"*"))</f>
        <v/>
      </c>
      <c r="F96">
        <f>IF(A96="","",COUNTIFS('Przypadki testowe'!$C$2:$C$300,"*"&amp;A96&amp;"*",'Przypadki testowe'!$K$2:$K$300,"Zaliczony"))</f>
        <v/>
      </c>
      <c r="G96">
        <f>IF(A96="","",COUNTIFS('Przypadki testowe'!$C$2:$C$300,"*"&amp;A96&amp;"*",'Przypadki testowe'!$K$2:$K$300,"Niezaliczony"))</f>
        <v/>
      </c>
      <c r="H96">
        <f>IF(A96="","",IF(E96&gt;0,"Pokryte","BRAK"))</f>
        <v/>
      </c>
    </row>
    <row r="97">
      <c r="E97">
        <f>IF(A97="","",COUNTIF('Przypadki testowe'!$C$2:$C$300,"*"&amp;A97&amp;"*"))</f>
        <v/>
      </c>
      <c r="F97">
        <f>IF(A97="","",COUNTIFS('Przypadki testowe'!$C$2:$C$300,"*"&amp;A97&amp;"*",'Przypadki testowe'!$K$2:$K$300,"Zaliczony"))</f>
        <v/>
      </c>
      <c r="G97">
        <f>IF(A97="","",COUNTIFS('Przypadki testowe'!$C$2:$C$300,"*"&amp;A97&amp;"*",'Przypadki testowe'!$K$2:$K$300,"Niezaliczony"))</f>
        <v/>
      </c>
      <c r="H97">
        <f>IF(A97="","",IF(E97&gt;0,"Pokryte","BRAK"))</f>
        <v/>
      </c>
    </row>
    <row r="98">
      <c r="E98">
        <f>IF(A98="","",COUNTIF('Przypadki testowe'!$C$2:$C$300,"*"&amp;A98&amp;"*"))</f>
        <v/>
      </c>
      <c r="F98">
        <f>IF(A98="","",COUNTIFS('Przypadki testowe'!$C$2:$C$300,"*"&amp;A98&amp;"*",'Przypadki testowe'!$K$2:$K$300,"Zaliczony"))</f>
        <v/>
      </c>
      <c r="G98">
        <f>IF(A98="","",COUNTIFS('Przypadki testowe'!$C$2:$C$300,"*"&amp;A98&amp;"*",'Przypadki testowe'!$K$2:$K$300,"Niezaliczony"))</f>
        <v/>
      </c>
      <c r="H98">
        <f>IF(A98="","",IF(E98&gt;0,"Pokryte","BRAK"))</f>
        <v/>
      </c>
    </row>
    <row r="99">
      <c r="E99">
        <f>IF(A99="","",COUNTIF('Przypadki testowe'!$C$2:$C$300,"*"&amp;A99&amp;"*"))</f>
        <v/>
      </c>
      <c r="F99">
        <f>IF(A99="","",COUNTIFS('Przypadki testowe'!$C$2:$C$300,"*"&amp;A99&amp;"*",'Przypadki testowe'!$K$2:$K$300,"Zaliczony"))</f>
        <v/>
      </c>
      <c r="G99">
        <f>IF(A99="","",COUNTIFS('Przypadki testowe'!$C$2:$C$300,"*"&amp;A99&amp;"*",'Przypadki testowe'!$K$2:$K$300,"Niezaliczony"))</f>
        <v/>
      </c>
      <c r="H99">
        <f>IF(A99="","",IF(E99&gt;0,"Pokryte","BRAK"))</f>
        <v/>
      </c>
    </row>
    <row r="100">
      <c r="E100">
        <f>IF(A100="","",COUNTIF('Przypadki testowe'!$C$2:$C$300,"*"&amp;A100&amp;"*"))</f>
        <v/>
      </c>
      <c r="F100">
        <f>IF(A100="","",COUNTIFS('Przypadki testowe'!$C$2:$C$300,"*"&amp;A100&amp;"*",'Przypadki testowe'!$K$2:$K$300,"Zaliczony"))</f>
        <v/>
      </c>
      <c r="G100">
        <f>IF(A100="","",COUNTIFS('Przypadki testowe'!$C$2:$C$300,"*"&amp;A100&amp;"*",'Przypadki testowe'!$K$2:$K$300,"Niezaliczony"))</f>
        <v/>
      </c>
      <c r="H100">
        <f>IF(A100="","",IF(E100&gt;0,"Pokryte","BRAK"))</f>
        <v/>
      </c>
    </row>
    <row r="101">
      <c r="E101">
        <f>IF(A101="","",COUNTIF('Przypadki testowe'!$C$2:$C$300,"*"&amp;A101&amp;"*"))</f>
        <v/>
      </c>
      <c r="F101">
        <f>IF(A101="","",COUNTIFS('Przypadki testowe'!$C$2:$C$300,"*"&amp;A101&amp;"*",'Przypadki testowe'!$K$2:$K$300,"Zaliczony"))</f>
        <v/>
      </c>
      <c r="G101">
        <f>IF(A101="","",COUNTIFS('Przypadki testowe'!$C$2:$C$300,"*"&amp;A101&amp;"*",'Przypadki testowe'!$K$2:$K$300,"Niezaliczony"))</f>
        <v/>
      </c>
      <c r="H101">
        <f>IF(A101="","",IF(E101&gt;0,"Pokryte","BRAK"))</f>
        <v/>
      </c>
    </row>
    <row r="102">
      <c r="E102">
        <f>IF(A102="","",COUNTIF('Przypadki testowe'!$C$2:$C$300,"*"&amp;A102&amp;"*"))</f>
        <v/>
      </c>
      <c r="F102">
        <f>IF(A102="","",COUNTIFS('Przypadki testowe'!$C$2:$C$300,"*"&amp;A102&amp;"*",'Przypadki testowe'!$K$2:$K$300,"Zaliczony"))</f>
        <v/>
      </c>
      <c r="G102">
        <f>IF(A102="","",COUNTIFS('Przypadki testowe'!$C$2:$C$300,"*"&amp;A102&amp;"*",'Przypadki testowe'!$K$2:$K$300,"Niezaliczony"))</f>
        <v/>
      </c>
      <c r="H102">
        <f>IF(A102="","",IF(E102&gt;0,"Pokryte","BRAK"))</f>
        <v/>
      </c>
    </row>
    <row r="103">
      <c r="E103">
        <f>IF(A103="","",COUNTIF('Przypadki testowe'!$C$2:$C$300,"*"&amp;A103&amp;"*"))</f>
        <v/>
      </c>
      <c r="F103">
        <f>IF(A103="","",COUNTIFS('Przypadki testowe'!$C$2:$C$300,"*"&amp;A103&amp;"*",'Przypadki testowe'!$K$2:$K$300,"Zaliczony"))</f>
        <v/>
      </c>
      <c r="G103">
        <f>IF(A103="","",COUNTIFS('Przypadki testowe'!$C$2:$C$300,"*"&amp;A103&amp;"*",'Przypadki testowe'!$K$2:$K$300,"Niezaliczony"))</f>
        <v/>
      </c>
      <c r="H103">
        <f>IF(A103="","",IF(E103&gt;0,"Pokryte","BRAK"))</f>
        <v/>
      </c>
    </row>
    <row r="104">
      <c r="E104">
        <f>IF(A104="","",COUNTIF('Przypadki testowe'!$C$2:$C$300,"*"&amp;A104&amp;"*"))</f>
        <v/>
      </c>
      <c r="F104">
        <f>IF(A104="","",COUNTIFS('Przypadki testowe'!$C$2:$C$300,"*"&amp;A104&amp;"*",'Przypadki testowe'!$K$2:$K$300,"Zaliczony"))</f>
        <v/>
      </c>
      <c r="G104">
        <f>IF(A104="","",COUNTIFS('Przypadki testowe'!$C$2:$C$300,"*"&amp;A104&amp;"*",'Przypadki testowe'!$K$2:$K$300,"Niezaliczony"))</f>
        <v/>
      </c>
      <c r="H104">
        <f>IF(A104="","",IF(E104&gt;0,"Pokryte","BRAK"))</f>
        <v/>
      </c>
    </row>
    <row r="105">
      <c r="E105">
        <f>IF(A105="","",COUNTIF('Przypadki testowe'!$C$2:$C$300,"*"&amp;A105&amp;"*"))</f>
        <v/>
      </c>
      <c r="F105">
        <f>IF(A105="","",COUNTIFS('Przypadki testowe'!$C$2:$C$300,"*"&amp;A105&amp;"*",'Przypadki testowe'!$K$2:$K$300,"Zaliczony"))</f>
        <v/>
      </c>
      <c r="G105">
        <f>IF(A105="","",COUNTIFS('Przypadki testowe'!$C$2:$C$300,"*"&amp;A105&amp;"*",'Przypadki testowe'!$K$2:$K$300,"Niezaliczony"))</f>
        <v/>
      </c>
      <c r="H105">
        <f>IF(A105="","",IF(E105&gt;0,"Pokryte","BRAK"))</f>
        <v/>
      </c>
    </row>
    <row r="106">
      <c r="E106">
        <f>IF(A106="","",COUNTIF('Przypadki testowe'!$C$2:$C$300,"*"&amp;A106&amp;"*"))</f>
        <v/>
      </c>
      <c r="F106">
        <f>IF(A106="","",COUNTIFS('Przypadki testowe'!$C$2:$C$300,"*"&amp;A106&amp;"*",'Przypadki testowe'!$K$2:$K$300,"Zaliczony"))</f>
        <v/>
      </c>
      <c r="G106">
        <f>IF(A106="","",COUNTIFS('Przypadki testowe'!$C$2:$C$300,"*"&amp;A106&amp;"*",'Przypadki testowe'!$K$2:$K$300,"Niezaliczony"))</f>
        <v/>
      </c>
      <c r="H106">
        <f>IF(A106="","",IF(E106&gt;0,"Pokryte","BRAK"))</f>
        <v/>
      </c>
    </row>
    <row r="107">
      <c r="E107">
        <f>IF(A107="","",COUNTIF('Przypadki testowe'!$C$2:$C$300,"*"&amp;A107&amp;"*"))</f>
        <v/>
      </c>
      <c r="F107">
        <f>IF(A107="","",COUNTIFS('Przypadki testowe'!$C$2:$C$300,"*"&amp;A107&amp;"*",'Przypadki testowe'!$K$2:$K$300,"Zaliczony"))</f>
        <v/>
      </c>
      <c r="G107">
        <f>IF(A107="","",COUNTIFS('Przypadki testowe'!$C$2:$C$300,"*"&amp;A107&amp;"*",'Przypadki testowe'!$K$2:$K$300,"Niezaliczony"))</f>
        <v/>
      </c>
      <c r="H107">
        <f>IF(A107="","",IF(E107&gt;0,"Pokryte","BRAK"))</f>
        <v/>
      </c>
    </row>
    <row r="108">
      <c r="E108">
        <f>IF(A108="","",COUNTIF('Przypadki testowe'!$C$2:$C$300,"*"&amp;A108&amp;"*"))</f>
        <v/>
      </c>
      <c r="F108">
        <f>IF(A108="","",COUNTIFS('Przypadki testowe'!$C$2:$C$300,"*"&amp;A108&amp;"*",'Przypadki testowe'!$K$2:$K$300,"Zaliczony"))</f>
        <v/>
      </c>
      <c r="G108">
        <f>IF(A108="","",COUNTIFS('Przypadki testowe'!$C$2:$C$300,"*"&amp;A108&amp;"*",'Przypadki testowe'!$K$2:$K$300,"Niezaliczony"))</f>
        <v/>
      </c>
      <c r="H108">
        <f>IF(A108="","",IF(E108&gt;0,"Pokryte","BRAK"))</f>
        <v/>
      </c>
    </row>
    <row r="109">
      <c r="E109">
        <f>IF(A109="","",COUNTIF('Przypadki testowe'!$C$2:$C$300,"*"&amp;A109&amp;"*"))</f>
        <v/>
      </c>
      <c r="F109">
        <f>IF(A109="","",COUNTIFS('Przypadki testowe'!$C$2:$C$300,"*"&amp;A109&amp;"*",'Przypadki testowe'!$K$2:$K$300,"Zaliczony"))</f>
        <v/>
      </c>
      <c r="G109">
        <f>IF(A109="","",COUNTIFS('Przypadki testowe'!$C$2:$C$300,"*"&amp;A109&amp;"*",'Przypadki testowe'!$K$2:$K$300,"Niezaliczony"))</f>
        <v/>
      </c>
      <c r="H109">
        <f>IF(A109="","",IF(E109&gt;0,"Pokryte","BRAK"))</f>
        <v/>
      </c>
    </row>
    <row r="110">
      <c r="E110">
        <f>IF(A110="","",COUNTIF('Przypadki testowe'!$C$2:$C$300,"*"&amp;A110&amp;"*"))</f>
        <v/>
      </c>
      <c r="F110">
        <f>IF(A110="","",COUNTIFS('Przypadki testowe'!$C$2:$C$300,"*"&amp;A110&amp;"*",'Przypadki testowe'!$K$2:$K$300,"Zaliczony"))</f>
        <v/>
      </c>
      <c r="G110">
        <f>IF(A110="","",COUNTIFS('Przypadki testowe'!$C$2:$C$300,"*"&amp;A110&amp;"*",'Przypadki testowe'!$K$2:$K$300,"Niezaliczony"))</f>
        <v/>
      </c>
      <c r="H110">
        <f>IF(A110="","",IF(E110&gt;0,"Pokryte","BRAK"))</f>
        <v/>
      </c>
    </row>
    <row r="111">
      <c r="E111">
        <f>IF(A111="","",COUNTIF('Przypadki testowe'!$C$2:$C$300,"*"&amp;A111&amp;"*"))</f>
        <v/>
      </c>
      <c r="F111">
        <f>IF(A111="","",COUNTIFS('Przypadki testowe'!$C$2:$C$300,"*"&amp;A111&amp;"*",'Przypadki testowe'!$K$2:$K$300,"Zaliczony"))</f>
        <v/>
      </c>
      <c r="G111">
        <f>IF(A111="","",COUNTIFS('Przypadki testowe'!$C$2:$C$300,"*"&amp;A111&amp;"*",'Przypadki testowe'!$K$2:$K$300,"Niezaliczony"))</f>
        <v/>
      </c>
      <c r="H111">
        <f>IF(A111="","",IF(E111&gt;0,"Pokryte","BRAK"))</f>
        <v/>
      </c>
    </row>
    <row r="112">
      <c r="E112">
        <f>IF(A112="","",COUNTIF('Przypadki testowe'!$C$2:$C$300,"*"&amp;A112&amp;"*"))</f>
        <v/>
      </c>
      <c r="F112">
        <f>IF(A112="","",COUNTIFS('Przypadki testowe'!$C$2:$C$300,"*"&amp;A112&amp;"*",'Przypadki testowe'!$K$2:$K$300,"Zaliczony"))</f>
        <v/>
      </c>
      <c r="G112">
        <f>IF(A112="","",COUNTIFS('Przypadki testowe'!$C$2:$C$300,"*"&amp;A112&amp;"*",'Przypadki testowe'!$K$2:$K$300,"Niezaliczony"))</f>
        <v/>
      </c>
      <c r="H112">
        <f>IF(A112="","",IF(E112&gt;0,"Pokryte","BRAK"))</f>
        <v/>
      </c>
    </row>
    <row r="113">
      <c r="E113">
        <f>IF(A113="","",COUNTIF('Przypadki testowe'!$C$2:$C$300,"*"&amp;A113&amp;"*"))</f>
        <v/>
      </c>
      <c r="F113">
        <f>IF(A113="","",COUNTIFS('Przypadki testowe'!$C$2:$C$300,"*"&amp;A113&amp;"*",'Przypadki testowe'!$K$2:$K$300,"Zaliczony"))</f>
        <v/>
      </c>
      <c r="G113">
        <f>IF(A113="","",COUNTIFS('Przypadki testowe'!$C$2:$C$300,"*"&amp;A113&amp;"*",'Przypadki testowe'!$K$2:$K$300,"Niezaliczony"))</f>
        <v/>
      </c>
      <c r="H113">
        <f>IF(A113="","",IF(E113&gt;0,"Pokryte","BRAK"))</f>
        <v/>
      </c>
    </row>
    <row r="114">
      <c r="E114">
        <f>IF(A114="","",COUNTIF('Przypadki testowe'!$C$2:$C$300,"*"&amp;A114&amp;"*"))</f>
        <v/>
      </c>
      <c r="F114">
        <f>IF(A114="","",COUNTIFS('Przypadki testowe'!$C$2:$C$300,"*"&amp;A114&amp;"*",'Przypadki testowe'!$K$2:$K$300,"Zaliczony"))</f>
        <v/>
      </c>
      <c r="G114">
        <f>IF(A114="","",COUNTIFS('Przypadki testowe'!$C$2:$C$300,"*"&amp;A114&amp;"*",'Przypadki testowe'!$K$2:$K$300,"Niezaliczony"))</f>
        <v/>
      </c>
      <c r="H114">
        <f>IF(A114="","",IF(E114&gt;0,"Pokryte","BRAK"))</f>
        <v/>
      </c>
    </row>
    <row r="115">
      <c r="E115">
        <f>IF(A115="","",COUNTIF('Przypadki testowe'!$C$2:$C$300,"*"&amp;A115&amp;"*"))</f>
        <v/>
      </c>
      <c r="F115">
        <f>IF(A115="","",COUNTIFS('Przypadki testowe'!$C$2:$C$300,"*"&amp;A115&amp;"*",'Przypadki testowe'!$K$2:$K$300,"Zaliczony"))</f>
        <v/>
      </c>
      <c r="G115">
        <f>IF(A115="","",COUNTIFS('Przypadki testowe'!$C$2:$C$300,"*"&amp;A115&amp;"*",'Przypadki testowe'!$K$2:$K$300,"Niezaliczony"))</f>
        <v/>
      </c>
      <c r="H115">
        <f>IF(A115="","",IF(E115&gt;0,"Pokryte","BRAK"))</f>
        <v/>
      </c>
    </row>
    <row r="116">
      <c r="E116">
        <f>IF(A116="","",COUNTIF('Przypadki testowe'!$C$2:$C$300,"*"&amp;A116&amp;"*"))</f>
        <v/>
      </c>
      <c r="F116">
        <f>IF(A116="","",COUNTIFS('Przypadki testowe'!$C$2:$C$300,"*"&amp;A116&amp;"*",'Przypadki testowe'!$K$2:$K$300,"Zaliczony"))</f>
        <v/>
      </c>
      <c r="G116">
        <f>IF(A116="","",COUNTIFS('Przypadki testowe'!$C$2:$C$300,"*"&amp;A116&amp;"*",'Przypadki testowe'!$K$2:$K$300,"Niezaliczony"))</f>
        <v/>
      </c>
      <c r="H116">
        <f>IF(A116="","",IF(E116&gt;0,"Pokryte","BRAK"))</f>
        <v/>
      </c>
    </row>
    <row r="117">
      <c r="E117">
        <f>IF(A117="","",COUNTIF('Przypadki testowe'!$C$2:$C$300,"*"&amp;A117&amp;"*"))</f>
        <v/>
      </c>
      <c r="F117">
        <f>IF(A117="","",COUNTIFS('Przypadki testowe'!$C$2:$C$300,"*"&amp;A117&amp;"*",'Przypadki testowe'!$K$2:$K$300,"Zaliczony"))</f>
        <v/>
      </c>
      <c r="G117">
        <f>IF(A117="","",COUNTIFS('Przypadki testowe'!$C$2:$C$300,"*"&amp;A117&amp;"*",'Przypadki testowe'!$K$2:$K$300,"Niezaliczony"))</f>
        <v/>
      </c>
      <c r="H117">
        <f>IF(A117="","",IF(E117&gt;0,"Pokryte","BRAK"))</f>
        <v/>
      </c>
    </row>
    <row r="118">
      <c r="E118">
        <f>IF(A118="","",COUNTIF('Przypadki testowe'!$C$2:$C$300,"*"&amp;A118&amp;"*"))</f>
        <v/>
      </c>
      <c r="F118">
        <f>IF(A118="","",COUNTIFS('Przypadki testowe'!$C$2:$C$300,"*"&amp;A118&amp;"*",'Przypadki testowe'!$K$2:$K$300,"Zaliczony"))</f>
        <v/>
      </c>
      <c r="G118">
        <f>IF(A118="","",COUNTIFS('Przypadki testowe'!$C$2:$C$300,"*"&amp;A118&amp;"*",'Przypadki testowe'!$K$2:$K$300,"Niezaliczony"))</f>
        <v/>
      </c>
      <c r="H118">
        <f>IF(A118="","",IF(E118&gt;0,"Pokryte","BRAK"))</f>
        <v/>
      </c>
    </row>
    <row r="119">
      <c r="E119">
        <f>IF(A119="","",COUNTIF('Przypadki testowe'!$C$2:$C$300,"*"&amp;A119&amp;"*"))</f>
        <v/>
      </c>
      <c r="F119">
        <f>IF(A119="","",COUNTIFS('Przypadki testowe'!$C$2:$C$300,"*"&amp;A119&amp;"*",'Przypadki testowe'!$K$2:$K$300,"Zaliczony"))</f>
        <v/>
      </c>
      <c r="G119">
        <f>IF(A119="","",COUNTIFS('Przypadki testowe'!$C$2:$C$300,"*"&amp;A119&amp;"*",'Przypadki testowe'!$K$2:$K$300,"Niezaliczony"))</f>
        <v/>
      </c>
      <c r="H119">
        <f>IF(A119="","",IF(E119&gt;0,"Pokryte","BRAK"))</f>
        <v/>
      </c>
    </row>
    <row r="120">
      <c r="E120">
        <f>IF(A120="","",COUNTIF('Przypadki testowe'!$C$2:$C$300,"*"&amp;A120&amp;"*"))</f>
        <v/>
      </c>
      <c r="F120">
        <f>IF(A120="","",COUNTIFS('Przypadki testowe'!$C$2:$C$300,"*"&amp;A120&amp;"*",'Przypadki testowe'!$K$2:$K$300,"Zaliczony"))</f>
        <v/>
      </c>
      <c r="G120">
        <f>IF(A120="","",COUNTIFS('Przypadki testowe'!$C$2:$C$300,"*"&amp;A120&amp;"*",'Przypadki testowe'!$K$2:$K$300,"Niezaliczony"))</f>
        <v/>
      </c>
      <c r="H120">
        <f>IF(A120="","",IF(E120&gt;0,"Pokryte","BRAK"))</f>
        <v/>
      </c>
    </row>
  </sheetData>
  <autoFilter ref="A1:I1"/>
  <dataValidations count="1">
    <dataValidation sqref="C2:C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3" customWidth="1" min="4" max="4"/>
    <col width="28" customWidth="1" min="5" max="5"/>
    <col width="26" customWidth="1" min="6" max="6"/>
    <col width="22" customWidth="1" min="7" max="7"/>
    <col width="44" customWidth="1" min="8" max="8"/>
    <col width="34" customWidth="1" min="9" max="9"/>
    <col width="38" customWidth="1" min="10" max="10"/>
    <col width="11" customWidth="1" min="11" max="11"/>
    <col width="10" customWidth="1" min="12" max="12"/>
    <col width="12" customWidth="1" min="13" max="13"/>
    <col width="13" customWidth="1" min="14" max="14"/>
    <col width="18" customWidth="1" min="15" max="15"/>
    <col width="18" customWidth="1" min="16" max="16"/>
    <col width="32" customWidth="1" min="17" max="17"/>
  </cols>
  <sheetData>
    <row r="1" ht="32" customHeight="1">
      <c r="A1" s="6" t="inlineStr">
        <is>
          <t>ID</t>
        </is>
      </c>
      <c r="B1" s="6" t="inlineStr">
        <is>
          <t>Tytuł (krótki opis awarii)</t>
        </is>
      </c>
      <c r="C1" s="6" t="inlineStr">
        <is>
          <t>Data</t>
        </is>
      </c>
      <c r="D1" s="6" t="inlineStr">
        <is>
          <t>Zgłaszający</t>
        </is>
      </c>
      <c r="E1" s="6" t="inlineStr">
        <is>
          <t>Obiekt testów / URL</t>
        </is>
      </c>
      <c r="F1" s="6" t="inlineStr">
        <is>
          <t>Środowisko</t>
        </is>
      </c>
      <c r="G1" s="6" t="inlineStr">
        <is>
          <t>Warunki wstępne</t>
        </is>
      </c>
      <c r="H1" s="6" t="inlineStr">
        <is>
          <t>Kroki do odtworzenia</t>
        </is>
      </c>
      <c r="I1" s="6" t="inlineStr">
        <is>
          <t>Oczekiwany rezultat</t>
        </is>
      </c>
      <c r="J1" s="6" t="inlineStr">
        <is>
          <t>Rzeczywisty rezultat</t>
        </is>
      </c>
      <c r="K1" s="6" t="inlineStr">
        <is>
          <t>Ważność</t>
        </is>
      </c>
      <c r="L1" s="6" t="inlineStr">
        <is>
          <t>Priorytet</t>
        </is>
      </c>
      <c r="M1" s="6" t="inlineStr">
        <is>
          <t>Powtarzalność</t>
        </is>
      </c>
      <c r="N1" s="6" t="inlineStr">
        <is>
          <t>Status</t>
        </is>
      </c>
      <c r="O1" s="6" t="inlineStr">
        <is>
          <t>Powiązany przypadek / wymaganie</t>
        </is>
      </c>
      <c r="P1" s="6" t="inlineStr">
        <is>
          <t>Załączniki</t>
        </is>
      </c>
      <c r="Q1" s="6" t="inlineStr">
        <is>
          <t>Uwagi</t>
        </is>
      </c>
    </row>
    <row r="2">
      <c r="A2" s="7" t="inlineStr">
        <is>
          <t>DEF-001</t>
        </is>
      </c>
      <c r="B2" s="7" t="inlineStr">
        <is>
          <t>Typos: w drugim akapicie losowo pojawia się literówka „won,t” zamiast „won't”</t>
        </is>
      </c>
      <c r="C2" s="7" t="inlineStr">
        <is>
          <t>2026-10-06</t>
        </is>
      </c>
      <c r="D2" s="7" t="inlineStr">
        <is>
          <t>Jan Tester</t>
        </is>
      </c>
      <c r="E2" s="7" t="inlineStr">
        <is>
          <t>https://the-internet.herokuapp.com/typos</t>
        </is>
      </c>
      <c r="F2" s="7" t="inlineStr">
        <is>
          <t>Windows 11 Pro 24H2, Google Chrome 141 (64-bit), 1920×1080</t>
        </is>
      </c>
      <c r="G2" s="7" t="inlineStr">
        <is>
          <t>brak</t>
        </is>
      </c>
      <c r="H2" s="7" t="inlineStr">
        <is>
          <t>1. Otwórz stronę /typos.
2. Przeczytaj drugi akapit tekstu.
3. Odśwież stronę (F5) 10 razy, za każdym razem czytając drugi akapit.</t>
        </is>
      </c>
      <c r="I2" s="7" t="inlineStr">
        <is>
          <t>Za każdym razem tekst: „Sometimes you'll see a typo, other times you won't.” (bez błędów).</t>
        </is>
      </c>
      <c r="J2" s="7" t="inlineStr">
        <is>
          <t>W 5 na 10 odświeżeń tekst brzmi: „Sometimes you'll see a typo, other times you won,t.” (przecinek zamiast apostrofu).</t>
        </is>
      </c>
      <c r="K2" s="7" t="inlineStr">
        <is>
          <t>Niska</t>
        </is>
      </c>
      <c r="L2" s="7" t="inlineStr">
        <is>
          <t>Niski</t>
        </is>
      </c>
      <c r="M2" s="7" t="inlineStr">
        <is>
          <t>Czasami</t>
        </is>
      </c>
      <c r="N2" s="7" t="inlineStr">
        <is>
          <t>Nowy</t>
        </is>
      </c>
      <c r="O2" s="7" t="inlineStr">
        <is>
          <t>Sesja eksploracyjna S1</t>
        </is>
      </c>
      <c r="P2" s="7" t="inlineStr">
        <is>
          <t>DEF-001.png</t>
        </is>
      </c>
      <c r="Q2" s="7" t="inlineStr">
        <is>
          <t>Awaria nieregularna – podano częstość (5/10). Zrzut ekranu z wersją z literówką.</t>
        </is>
      </c>
    </row>
    <row r="3">
      <c r="A3" s="7" t="inlineStr">
        <is>
          <t>DEF-002</t>
        </is>
      </c>
      <c r="B3" s="7" t="inlineStr">
        <is>
          <t>Broken Images: 2 z 3 obrazków nie wyświetlają się (ikona uszkodzonego obrazka)</t>
        </is>
      </c>
      <c r="C3" s="7" t="inlineStr">
        <is>
          <t>2026-10-06</t>
        </is>
      </c>
      <c r="D3" s="7" t="inlineStr">
        <is>
          <t>Jan Tester</t>
        </is>
      </c>
      <c r="E3" s="7" t="inlineStr">
        <is>
          <t>https://the-internet.herokuapp.com/broken_images</t>
        </is>
      </c>
      <c r="F3" s="7" t="inlineStr">
        <is>
          <t>Windows 11 Pro 24H2, Google Chrome 141 (64-bit), 1920×1080</t>
        </is>
      </c>
      <c r="G3" s="7" t="inlineStr">
        <is>
          <t>brak</t>
        </is>
      </c>
      <c r="H3" s="7" t="inlineStr">
        <is>
          <t>1. Otwórz stronę /broken_images.
2. Obejrzyj obrazki pod nagłówkiem „Broken Images”.
3. Naciśnij F12 ▸ zakładka Console (lub Network) i odśwież stronę.</t>
        </is>
      </c>
      <c r="I3" s="7" t="inlineStr">
        <is>
          <t>Wszystkie trzy obrazki wyświetlają się poprawnie.</t>
        </is>
      </c>
      <c r="J3" s="7" t="inlineStr">
        <is>
          <t>Wyświetla się tylko trzeci obrazek (awatar). Pierwsze dwa to ikony uszkodzonego obrazka; w konsoli: „GET …/asdf.jpg 404 (Not Found)”, „GET …/hjkl.jpg 404 (Not Found)”.</t>
        </is>
      </c>
      <c r="K3" s="7" t="inlineStr">
        <is>
          <t>Średnia</t>
        </is>
      </c>
      <c r="L3" s="7" t="inlineStr">
        <is>
          <t>Średni</t>
        </is>
      </c>
      <c r="M3" s="7" t="inlineStr">
        <is>
          <t>Zawsze</t>
        </is>
      </c>
      <c r="N3" s="7" t="inlineStr">
        <is>
          <t>Nowy</t>
        </is>
      </c>
      <c r="O3" s="7" t="inlineStr">
        <is>
          <t>Sesja eksploracyjna S1</t>
        </is>
      </c>
      <c r="P3" s="7" t="inlineStr">
        <is>
          <t>DEF-002.png, DEF-002-konsola.png</t>
        </is>
      </c>
      <c r="Q3" s="7" t="inlineStr">
        <is>
          <t>Przyczyna prawdopodobnie w błędnych ścieżkach plików (src="asdf.jpg", "hjkl.jpg").</t>
        </is>
      </c>
    </row>
    <row r="4">
      <c r="A4" s="7" t="inlineStr">
        <is>
          <t>DEF-003</t>
        </is>
      </c>
      <c r="B4" s="7" t="inlineStr">
        <is>
          <t>Challenging DOM: linki „edit” i „delete” w tabeli nie wykonują żadnej akcji</t>
        </is>
      </c>
      <c r="C4" s="7" t="inlineStr">
        <is>
          <t>2026-10-06</t>
        </is>
      </c>
      <c r="D4" s="7" t="inlineStr">
        <is>
          <t>Jan Tester</t>
        </is>
      </c>
      <c r="E4" s="7" t="inlineStr">
        <is>
          <t>https://the-internet.herokuapp.com/challenging_dom</t>
        </is>
      </c>
      <c r="F4" s="7" t="inlineStr">
        <is>
          <t>Windows 11 Pro 24H2, Google Chrome 141 (64-bit), 1920×1080</t>
        </is>
      </c>
      <c r="G4" s="7" t="inlineStr">
        <is>
          <t>brak</t>
        </is>
      </c>
      <c r="H4" s="7" t="inlineStr">
        <is>
          <t>1. Otwórz stronę /challenging_dom.
2. W pierwszym wierszu tabeli (Iuvaret0) kliknij „edit”.
3. Wróć i w tym samym wierszu kliknij „delete”.</t>
        </is>
      </c>
      <c r="I4" s="7" t="inlineStr">
        <is>
          <t>„edit” otwiera edycję wiersza; „delete” usuwa wiersz (ew. po potwierdzeniu).</t>
        </is>
      </c>
      <c r="J4" s="7" t="inlineStr">
        <is>
          <t>Po kliknięciu nic się nie dzieje – zmienia się jedynie adres na …/challenging_dom#edit (…#delete); tabela bez zmian.</t>
        </is>
      </c>
      <c r="K4" s="7" t="inlineStr">
        <is>
          <t>Wysoka</t>
        </is>
      </c>
      <c r="L4" s="7" t="inlineStr">
        <is>
          <t>Średni</t>
        </is>
      </c>
      <c r="M4" s="7" t="inlineStr">
        <is>
          <t>Zawsze</t>
        </is>
      </c>
      <c r="N4" s="7" t="inlineStr">
        <is>
          <t>Nowy</t>
        </is>
      </c>
      <c r="O4" s="7" t="inlineStr">
        <is>
          <t>Sesja eksploracyjna S1</t>
        </is>
      </c>
      <c r="P4" s="7" t="inlineStr">
        <is>
          <t>DEF-003.png</t>
        </is>
      </c>
      <c r="Q4" s="7" t="inlineStr">
        <is>
          <t>Strona nie ma specyfikacji – oczekiwanie przyjęto na podstawie etykiet linków (wyrocznia: konwencja/zdrowy rozsądek); do potwierdzenia z właścicielem produktu.</t>
        </is>
      </c>
    </row>
    <row r="5">
      <c r="A5" s="7" t="inlineStr">
        <is>
          <t>DEF-004</t>
        </is>
      </c>
      <c r="B5" s="7" t="inlineStr">
        <is>
          <t>Disappearing Elements: pozycja menu „Gallery” losowo znika po odświeżeniu strony</t>
        </is>
      </c>
      <c r="C5" s="7" t="inlineStr">
        <is>
          <t>2026-10-06</t>
        </is>
      </c>
      <c r="D5" s="7" t="inlineStr">
        <is>
          <t>Jan Tester</t>
        </is>
      </c>
      <c r="E5" s="7" t="inlineStr">
        <is>
          <t>https://the-internet.herokuapp.com/disappearing_elements</t>
        </is>
      </c>
      <c r="F5" s="7" t="inlineStr">
        <is>
          <t>Windows 11 Pro 24H2, Google Chrome 141 (64-bit), 1920×1080</t>
        </is>
      </c>
      <c r="G5" s="7" t="inlineStr">
        <is>
          <t>brak</t>
        </is>
      </c>
      <c r="H5" s="7" t="inlineStr">
        <is>
          <t>1. Otwórz stronę /disappearing_elements.
2. Zanotuj pozycje menu.
3. Odśwież stronę (F5) 10 razy, za każdym razem licząc pozycje menu.</t>
        </is>
      </c>
      <c r="I5" s="7" t="inlineStr">
        <is>
          <t>Menu zawsze zawiera te same 5 pozycji: Home, About, Contact Us, Portfolio, Gallery.</t>
        </is>
      </c>
      <c r="J5" s="7" t="inlineStr">
        <is>
          <t>W 4 na 10 odświeżeń menu ma tylko 4 pozycje – brak „Gallery”.</t>
        </is>
      </c>
      <c r="K5" s="7" t="inlineStr">
        <is>
          <t>Średnia</t>
        </is>
      </c>
      <c r="L5" s="7" t="inlineStr">
        <is>
          <t>Średni</t>
        </is>
      </c>
      <c r="M5" s="7" t="inlineStr">
        <is>
          <t>Czasami</t>
        </is>
      </c>
      <c r="N5" s="7" t="inlineStr">
        <is>
          <t>Nowy</t>
        </is>
      </c>
      <c r="O5" s="7" t="inlineStr">
        <is>
          <t>Sesja eksploracyjna S1</t>
        </is>
      </c>
      <c r="P5" s="7" t="inlineStr">
        <is>
          <t>DEF-004a.png, DEF-004b.png</t>
        </is>
      </c>
      <c r="Q5" s="7" t="inlineStr">
        <is>
          <t>Dwa zrzuty: menu z 5 i z 4 pozycjami.</t>
        </is>
      </c>
    </row>
    <row r="6">
      <c r="A6" s="7" t="inlineStr">
        <is>
          <t>DEF-005</t>
        </is>
      </c>
      <c r="B6" s="7" t="inlineStr">
        <is>
          <t>Disappearing Elements: odnośniki About, Contact Us, Portfolio i Gallery prowadzą do strony „Not Found”</t>
        </is>
      </c>
      <c r="C6" s="7" t="inlineStr">
        <is>
          <t>2026-10-06</t>
        </is>
      </c>
      <c r="D6" s="7" t="inlineStr">
        <is>
          <t>Jan Tester</t>
        </is>
      </c>
      <c r="E6" s="7" t="inlineStr">
        <is>
          <t>https://the-internet.herokuapp.com/disappearing_elements</t>
        </is>
      </c>
      <c r="F6" s="7" t="inlineStr">
        <is>
          <t>Windows 11 Pro 24H2, Google Chrome 141 (64-bit), 1920×1080</t>
        </is>
      </c>
      <c r="G6" s="7" t="inlineStr">
        <is>
          <t>Menu zawiera pozycję „Gallery” (patrz DEF-004)</t>
        </is>
      </c>
      <c r="H6" s="7" t="inlineStr">
        <is>
          <t>1. Otwórz stronę /disappearing_elements.
2. Kliknij „About”.
3. Wróć (Alt+←) i powtórz dla „Contact Us”, „Portfolio”, „Gallery”.</t>
        </is>
      </c>
      <c r="I6" s="7" t="inlineStr">
        <is>
          <t>Każdy odnośnik otwiera odpowiednią podstronę (About, Contact Us, Portfolio, Gallery).</t>
        </is>
      </c>
      <c r="J6" s="7" t="inlineStr">
        <is>
          <t>Każdy z 4 odnośników otwiera pustą stronę z tekstem „Not Found” (HTTP 404). Działa tylko „Home”.</t>
        </is>
      </c>
      <c r="K6" s="7" t="inlineStr">
        <is>
          <t>Wysoka</t>
        </is>
      </c>
      <c r="L6" s="7" t="inlineStr">
        <is>
          <t>Wysoki</t>
        </is>
      </c>
      <c r="M6" s="7" t="inlineStr">
        <is>
          <t>Zawsze</t>
        </is>
      </c>
      <c r="N6" s="7" t="inlineStr">
        <is>
          <t>Nowy</t>
        </is>
      </c>
      <c r="O6" s="7" t="inlineStr">
        <is>
          <t>Sesja eksploracyjna S1</t>
        </is>
      </c>
      <c r="P6" s="7" t="inlineStr">
        <is>
          <t>DEF-005.png</t>
        </is>
      </c>
      <c r="Q6" s="7" t="inlineStr"/>
    </row>
    <row r="7">
      <c r="A7" s="7" t="inlineStr">
        <is>
          <t>DEF-006</t>
        </is>
      </c>
      <c r="B7" s="7" t="inlineStr">
        <is>
          <t>Login: komunikat błędu ujawnia, czy podana nazwa użytkownika istnieje</t>
        </is>
      </c>
      <c r="C7" s="7" t="inlineStr">
        <is>
          <t>2026-10-06</t>
        </is>
      </c>
      <c r="D7" s="7" t="inlineStr">
        <is>
          <t>Jan Tester</t>
        </is>
      </c>
      <c r="E7" s="7" t="inlineStr">
        <is>
          <t>https://the-internet.herokuapp.com/login</t>
        </is>
      </c>
      <c r="F7" s="7" t="inlineStr">
        <is>
          <t>Windows 11 Pro 24H2, Google Chrome 141 (64-bit), 1920×1080</t>
        </is>
      </c>
      <c r="G7" s="7" t="inlineStr">
        <is>
          <t>Użytkownik niezalogowany</t>
        </is>
      </c>
      <c r="H7" s="7" t="inlineStr">
        <is>
          <t>1. Otwórz /login.
2. Wpisz Username „tomsmith”, Password „zle” i kliknij Login.
3. Wpisz Username „nieistnieje”, Password „zle” i kliknij Login.</t>
        </is>
      </c>
      <c r="I7" s="7" t="inlineStr">
        <is>
          <t>W obu przypadkach ten sam ogólny komunikat, np. „Invalid username or password” (nie ujawnia, które pole jest błędne).</t>
        </is>
      </c>
      <c r="J7" s="7" t="inlineStr">
        <is>
          <t>Krok 2: „Your password is invalid!”; krok 3: „Your username is invalid!” – na tej podstawie można ustalić istniejące loginy (enumeracja kont).</t>
        </is>
      </c>
      <c r="K7" s="7" t="inlineStr">
        <is>
          <t>Średnia</t>
        </is>
      </c>
      <c r="L7" s="7" t="inlineStr">
        <is>
          <t>Średni</t>
        </is>
      </c>
      <c r="M7" s="7" t="inlineStr">
        <is>
          <t>Zawsze</t>
        </is>
      </c>
      <c r="N7" s="7" t="inlineStr">
        <is>
          <t>Nowy</t>
        </is>
      </c>
      <c r="O7" s="7" t="inlineStr">
        <is>
          <t>Lista kontrolna CHK-07</t>
        </is>
      </c>
      <c r="P7" s="7" t="inlineStr">
        <is>
          <t>DEF-006a.png, DEF-006b.png</t>
        </is>
      </c>
      <c r="Q7" s="7" t="inlineStr">
        <is>
          <t>Zalecenie OWASP (Authentication Cheat Sheet): jednakowy komunikat dla błędnego loginu i hasła.</t>
        </is>
      </c>
    </row>
    <row r="8">
      <c r="A8" s="7" t="inlineStr">
        <is>
          <t>DEF-007</t>
        </is>
      </c>
      <c r="B8" s="7" t="inlineStr">
        <is>
          <t>Rejestracja: konto osoby 15-letniej zostaje utworzone (dolna granica wieku 15 zamiast 16)</t>
        </is>
      </c>
      <c r="C8" s="7" t="inlineStr">
        <is>
          <t>2026-10-13</t>
        </is>
      </c>
      <c r="D8" s="7" t="inlineStr">
        <is>
          <t>A. Nowak</t>
        </is>
      </c>
      <c r="E8" s="7" t="inlineStr">
        <is>
          <t>BiletTO 1.0.0-rc1, http://localhost/biletto/rejestracja.php</t>
        </is>
      </c>
      <c r="F8" s="7" t="inlineStr">
        <is>
          <t>Windows 11 Pro 24H2, Chrome 141 (64-bit), 1920×1080; XAMPP 8.2.12; BiletTO 1.0.0-rc1</t>
        </is>
      </c>
      <c r="G8" s="7" t="inlineStr">
        <is>
          <t>Dane początkowe (install.php?reset=1); użytkownik niezalogowany; konto „ola_fan” nie istnieje</t>
        </is>
      </c>
      <c r="H8" s="7" t="inlineStr">
        <is>
          <t>1. Otwórz stronę Rejestracja.
2. Wpisz: login ola_fan, e-mail ola@example.com, wiek 15, hasło i powtórzenie Koncert2026, regulamin zaznaczony.
3. Kliknij „Załóż konto”.
4. Otwórz panel Administracja.</t>
        </is>
      </c>
      <c r="I8" s="7" t="inlineStr">
        <is>
          <t>Komunikat „Wiek musi być liczbą całkowitą z zakresu 16–99.”; konto nie powstaje (REQ-REJ-06).</t>
        </is>
      </c>
      <c r="J8" s="7" t="inlineStr">
        <is>
          <t>Komunikat „Konto zostało utworzone. Możesz się zalogować.”; w panelu konto ola_fan, wiek 15, ACTIVE. Dla wieku 14 komunikat o wieku wyświetla się poprawnie.</t>
        </is>
      </c>
      <c r="K8" s="7" t="inlineStr">
        <is>
          <t>Wysoka</t>
        </is>
      </c>
      <c r="L8" s="7" t="inlineStr">
        <is>
          <t>Wysoki</t>
        </is>
      </c>
      <c r="M8" s="7" t="inlineStr">
        <is>
          <t>Zawsze</t>
        </is>
      </c>
      <c r="N8" s="7" t="inlineStr">
        <is>
          <t>Otwarty</t>
        </is>
      </c>
      <c r="O8" s="7" t="inlineStr">
        <is>
          <t>TC-REJ-015, REQ-REJ-06</t>
        </is>
      </c>
      <c r="P8" s="7" t="inlineStr">
        <is>
          <t>DEF-007.png</t>
        </is>
      </c>
      <c r="Q8" s="7" t="inlineStr">
        <is>
          <t>Ryzyko prawne – regulamin serwisu dopuszcza konta od 16 lat. Hipoteza: warunek wiek &gt;= 15 zamiast &gt;= 16.</t>
        </is>
      </c>
    </row>
    <row r="9">
      <c r="A9" s="7" t="inlineStr">
        <is>
          <t>DEF-008</t>
        </is>
      </c>
      <c r="B9" s="7" t="inlineStr">
        <is>
          <t>Rejestracja: login z wielką literą („Ola_fan”) jest akceptowany</t>
        </is>
      </c>
      <c r="C9" s="7" t="inlineStr">
        <is>
          <t>2026-10-13</t>
        </is>
      </c>
      <c r="D9" s="7" t="inlineStr">
        <is>
          <t>A. Nowak</t>
        </is>
      </c>
      <c r="E9" s="7" t="inlineStr">
        <is>
          <t>BiletTO 1.0.0-rc1, http://localhost/biletto/rejestracja.php</t>
        </is>
      </c>
      <c r="F9" s="7" t="inlineStr">
        <is>
          <t>Windows 11 Pro 24H2, Chrome 141 (64-bit), 1920×1080; XAMPP 8.2.12; BiletTO 1.0.0-rc1</t>
        </is>
      </c>
      <c r="G9" s="7" t="inlineStr">
        <is>
          <t>Dane początkowe (install.php?reset=1); użytkownik niezalogowany; konto „Ola_fan” nie istnieje</t>
        </is>
      </c>
      <c r="H9" s="7" t="inlineStr">
        <is>
          <t>1. Otwórz stronę Rejestracja.
2. Wpisz: login Ola_fan, e-mail ola@example.com, wiek 25, hasło i powtórzenie Koncert2026, regulamin zaznaczony.
3. Kliknij „Załóż konto”.
4. Otwórz panel Administracja.</t>
        </is>
      </c>
      <c r="I9" s="7" t="inlineStr">
        <is>
          <t>Komunikat „Login musi mieć od 4 do 16 znaków, zaczynać się od litery i zawierać tylko małe litery, cyfry lub _.”; konto nie powstaje (REQ-REJ-02).</t>
        </is>
      </c>
      <c r="J9" s="7" t="inlineStr">
        <is>
          <t>Komunikat „Konto zostało utworzone. Możesz się zalogować.”; w panelu konto „Ola_fan”.</t>
        </is>
      </c>
      <c r="K9" s="7" t="inlineStr">
        <is>
          <t>Średnia</t>
        </is>
      </c>
      <c r="L9" s="7" t="inlineStr">
        <is>
          <t>Średni</t>
        </is>
      </c>
      <c r="M9" s="7" t="inlineStr">
        <is>
          <t>Zawsze</t>
        </is>
      </c>
      <c r="N9" s="7" t="inlineStr">
        <is>
          <t>Nowy</t>
        </is>
      </c>
      <c r="O9" s="7" t="inlineStr">
        <is>
          <t>TC-REJ-008, REQ-REJ-02</t>
        </is>
      </c>
      <c r="P9" s="7" t="inlineStr">
        <is>
          <t>DEF-008.png</t>
        </is>
      </c>
      <c r="Q9" s="7" t="inlineStr">
        <is>
          <t>Możliwe konta „Ola_fan” i „ola_fan” jednocześnie – ryzyko podszywania się. Login zaczynający się od cyfry jest odrzucany poprawnie (TC-REJ-007).</t>
        </is>
      </c>
    </row>
    <row r="10">
      <c r="A10" s="7" t="inlineStr">
        <is>
          <t>DEF-009</t>
        </is>
      </c>
      <c r="B10" s="7" t="inlineStr">
        <is>
          <t>Kalkulator: rabaty za kartę Klubu Fana i kod FAN2026 sumują się (20% zamiast 15%)</t>
        </is>
      </c>
      <c r="C10" s="7" t="inlineStr">
        <is>
          <t>2026-10-13</t>
        </is>
      </c>
      <c r="D10" s="7" t="inlineStr">
        <is>
          <t>B. Wiśniewska</t>
        </is>
      </c>
      <c r="E10" s="7" t="inlineStr">
        <is>
          <t>BiletTO 1.0.0-rc1, http://localhost/biletto/kalkulator.php</t>
        </is>
      </c>
      <c r="F10" s="7" t="inlineStr">
        <is>
          <t>Windows 11 Pro 24H2, Chrome 141 (64-bit), 1920×1080; XAMPP 8.2.12; BiletTO 1.0.0-rc1</t>
        </is>
      </c>
      <c r="G10" s="7" t="inlineStr">
        <is>
          <t>Dane początkowe; otwarta strona Kalkulator (logowanie niewymagane)</t>
        </is>
      </c>
      <c r="H10" s="7" t="inlineStr">
        <is>
          <t>1. Wybierz sektor Płyta, liczba biletów 2.
2. Zaznacz „Mam kartę Klubu Fana”, kod „fan2026”, dostawa Kurier.
3. Kliknij „Oblicz”.</t>
        </is>
      </c>
      <c r="I10" s="7" t="inlineStr">
        <is>
          <t>Rabat 15%, do zapłaty 429.00 zł (REQ-CEN-03, przykład z REQ-CEN-08).</t>
        </is>
      </c>
      <c r="J10" s="7" t="inlineStr">
        <is>
          <t>Rabat 20%, do zapłaty 404.00 zł.</t>
        </is>
      </c>
      <c r="K10" s="7" t="inlineStr">
        <is>
          <t>Wysoka</t>
        </is>
      </c>
      <c r="L10" s="7" t="inlineStr">
        <is>
          <t>Wysoki</t>
        </is>
      </c>
      <c r="M10" s="7" t="inlineStr">
        <is>
          <t>Zawsze</t>
        </is>
      </c>
      <c r="N10" s="7" t="inlineStr">
        <is>
          <t>Zamknięty</t>
        </is>
      </c>
      <c r="O10" s="7" t="inlineStr">
        <is>
          <t>TC-CEN-004, TC-CEN-016, REQ-CEN-03</t>
        </is>
      </c>
      <c r="P10" s="7" t="inlineStr">
        <is>
          <t>DEF-009.png</t>
        </is>
      </c>
      <c r="Q10" s="7" t="inlineStr">
        <is>
          <t>Naprawiony w rc2; retest TC-CEN-004 i TC-CEN-016 zaliczony 2026-10-15 – zamknięty.</t>
        </is>
      </c>
    </row>
    <row r="11">
      <c r="A11" s="7" t="inlineStr">
        <is>
          <t>DEF-010</t>
        </is>
      </c>
      <c r="B11" s="7" t="inlineStr">
        <is>
          <t>Kalkulator: dostawa płatna przy wartości biletów równej progowi 500,00 zł</t>
        </is>
      </c>
      <c r="C11" s="7" t="inlineStr">
        <is>
          <t>2026-10-13</t>
        </is>
      </c>
      <c r="D11" s="7" t="inlineStr">
        <is>
          <t>B. Wiśniewska</t>
        </is>
      </c>
      <c r="E11" s="7" t="inlineStr">
        <is>
          <t>BiletTO 1.0.0-rc1, http://localhost/biletto/kalkulator.php</t>
        </is>
      </c>
      <c r="F11" s="7" t="inlineStr">
        <is>
          <t>Windows 11 Pro 24H2, Chrome 141 (64-bit), 1920×1080; XAMPP 8.2.12; BiletTO 1.0.0-rc1</t>
        </is>
      </c>
      <c r="G11" s="7" t="inlineStr">
        <is>
          <t>Dane początkowe; otwarta strona Kalkulator (logowanie niewymagane)</t>
        </is>
      </c>
      <c r="H11" s="7" t="inlineStr">
        <is>
          <t>1. Wybierz sektor Płyta, liczba biletów 2, bez karty.
2. Kod „FAN2026”, dostawa Kurier.
3. Kliknij „Oblicz”.</t>
        </is>
      </c>
      <c r="I11" s="7" t="inlineStr">
        <is>
          <t>Dostawa 0.00 zł – próg 500,00 zł liczony od wartości biletów PRZED rabatem (REQ-CEN-05); do zapłaty 454.00 zł.</t>
        </is>
      </c>
      <c r="J11" s="7" t="inlineStr">
        <is>
          <t>rc1 i rc2: dostawa 20.00 zł, do zapłaty 474.00 zł. (W rc1 także bez kodu: dostawa 20.00 zł, do zapłaty 524.00 zł – w rc2 naprawione.)</t>
        </is>
      </c>
      <c r="K11" s="7" t="inlineStr">
        <is>
          <t>Wysoka</t>
        </is>
      </c>
      <c r="L11" s="7" t="inlineStr">
        <is>
          <t>Wysoki</t>
        </is>
      </c>
      <c r="M11" s="7" t="inlineStr">
        <is>
          <t>Zawsze</t>
        </is>
      </c>
      <c r="N11" s="7" t="inlineStr">
        <is>
          <t>Ponownie otwarty</t>
        </is>
      </c>
      <c r="O11" s="7" t="inlineStr">
        <is>
          <t>TC-CEN-008, TC-CEN-009, REQ-CEN-05</t>
        </is>
      </c>
      <c r="P11" s="7" t="inlineStr">
        <is>
          <t>DEF-010-rc1.png, DEF-010-rc2.png</t>
        </is>
      </c>
      <c r="Q11" s="7" t="inlineStr">
        <is>
          <t>Poprawka rc2 (&gt; zamieniono na &gt;=) była niepełna: próg porównywany z kwotą po rabacie (450,00 zł). Szczegóły: raport_defektu_DEF-010.md.</t>
        </is>
      </c>
    </row>
    <row r="12">
      <c r="A12" s="7" t="inlineStr">
        <is>
          <t>DEF-011</t>
        </is>
      </c>
      <c r="B12" s="7" t="inlineStr">
        <is>
          <t>Kalkulator: przyjmuje 7–10 biletów mimo limitu 6</t>
        </is>
      </c>
      <c r="C12" s="7" t="inlineStr">
        <is>
          <t>2026-10-13</t>
        </is>
      </c>
      <c r="D12" s="7" t="inlineStr">
        <is>
          <t>B. Wiśniewska</t>
        </is>
      </c>
      <c r="E12" s="7" t="inlineStr">
        <is>
          <t>BiletTO 1.0.0-rc1, http://localhost/biletto/kalkulator.php</t>
        </is>
      </c>
      <c r="F12" s="7" t="inlineStr">
        <is>
          <t>Windows 11 Pro 24H2, Chrome 141 (64-bit), 1920×1080; XAMPP 8.2.12; BiletTO 1.0.0-rc1</t>
        </is>
      </c>
      <c r="G12" s="7" t="inlineStr">
        <is>
          <t>Dane początkowe; otwarta strona Kalkulator (logowanie niewymagane)</t>
        </is>
      </c>
      <c r="H12" s="7" t="inlineStr">
        <is>
          <t>1. Wybierz sektor Płyta, wpisz liczbę biletów 7.
2. Bez karty i kodu, dostawa E-bilet.
3. Kliknij „Oblicz”.
4. Powtórz dla 10 i 11.</t>
        </is>
      </c>
      <c r="I12" s="7" t="inlineStr">
        <is>
          <t>Komunikat „Liczba biletów musi być liczbą całkowitą z zakresu 1–6.”; wynik nie jest wyświetlany (REQ-CEN-02).</t>
        </is>
      </c>
      <c r="J12" s="7" t="inlineStr">
        <is>
          <t>Dla 7: wynik – wartość 1750.00 zł, do zapłaty 1764.00 zł, brak komunikatu. Dla 10: wynik wyświetlony. Dla 11: komunikat „…z zakresu 1–6.”.</t>
        </is>
      </c>
      <c r="K12" s="7" t="inlineStr">
        <is>
          <t>Wysoka</t>
        </is>
      </c>
      <c r="L12" s="7" t="inlineStr">
        <is>
          <t>Wysoki</t>
        </is>
      </c>
      <c r="M12" s="7" t="inlineStr">
        <is>
          <t>Zawsze</t>
        </is>
      </c>
      <c r="N12" s="7" t="inlineStr">
        <is>
          <t>Nowy</t>
        </is>
      </c>
      <c r="O12" s="7" t="inlineStr">
        <is>
          <t>TC-CEN-013, REQ-CEN-02</t>
        </is>
      </c>
      <c r="P12" s="7" t="inlineStr">
        <is>
          <t>DEF-011.png</t>
        </is>
      </c>
      <c r="Q12" s="7" t="inlineStr">
        <is>
          <t>Faktyczny limit 10, a komunikat podaje 1–6. Ryzyko biznesowe: wykup puli biletów przez pośredników. Sprawdzić, czy ten sam limit dotyczy zamówień (REQ-ZAM-04).</t>
        </is>
      </c>
    </row>
    <row r="13">
      <c r="A13" s="7" t="inlineStr">
        <is>
          <t>DEF-012</t>
        </is>
      </c>
      <c r="B13" s="7" t="inlineStr">
        <is>
          <t>Rejestracja: numer telefonu ze spacjami („600 700 800”) jest akceptowany</t>
        </is>
      </c>
      <c r="C13" s="7" t="inlineStr">
        <is>
          <t>2026-10-13</t>
        </is>
      </c>
      <c r="D13" s="7" t="inlineStr">
        <is>
          <t>A. Nowak</t>
        </is>
      </c>
      <c r="E13" s="7" t="inlineStr">
        <is>
          <t>BiletTO 1.0.0-rc1, http://localhost/biletto/rejestracja.php</t>
        </is>
      </c>
      <c r="F13" s="7" t="inlineStr">
        <is>
          <t>Windows 11 Pro 24H2, Chrome 141 (64-bit), 1920×1080; XAMPP 8.2.12; BiletTO 1.0.0-rc1</t>
        </is>
      </c>
      <c r="G13" s="7" t="inlineStr">
        <is>
          <t>Dane początkowe (install.php?reset=1); użytkownik niezalogowany; konto „ola_fan” nie istnieje</t>
        </is>
      </c>
      <c r="H13" s="7" t="inlineStr">
        <is>
          <t>1. Otwórz stronę Rejestracja.
2. Wpisz: login ola_fan, telefon „600 700 800”, e-mail ola@example.com, wiek 25, hasło i powtórzenie Koncert2026, regulamin zaznaczony.
3. Kliknij „Załóż konto”.
4. Otwórz panel Administracja.</t>
        </is>
      </c>
      <c r="I13" s="7" t="inlineStr">
        <is>
          <t>Komunikat „Numer telefonu musi składać się z 9 cyfr.”; konto nie powstaje (REQ-REJ-05).</t>
        </is>
      </c>
      <c r="J13" s="7" t="inlineStr">
        <is>
          <t>Konto utworzone; telefon zapisany jako 600700800 (spacje usunięte).</t>
        </is>
      </c>
      <c r="K13" s="7" t="inlineStr">
        <is>
          <t>Niska</t>
        </is>
      </c>
      <c r="L13" s="7" t="inlineStr">
        <is>
          <t>Niski</t>
        </is>
      </c>
      <c r="M13" s="7" t="inlineStr">
        <is>
          <t>Zawsze</t>
        </is>
      </c>
      <c r="N13" s="7" t="inlineStr">
        <is>
          <t>Odrzucony</t>
        </is>
      </c>
      <c r="O13" s="7" t="inlineStr">
        <is>
          <t>TC-REJ-014, REQ-REJ-05</t>
        </is>
      </c>
      <c r="P13" s="7" t="inlineStr">
        <is>
          <t>DEF-012.png</t>
        </is>
      </c>
      <c r="Q13" s="7" t="inlineStr">
        <is>
          <t>Decyzja właściciela produktu (2026-10-14): zachowanie pożądane – zmiana wymagania REQ-REJ-05 w v1.1. Status: Odrzucony (to nie defekt aplikacji, tylko wymagania).</t>
        </is>
      </c>
    </row>
    <row r="14">
      <c r="A14" s="7" t="inlineStr">
        <is>
          <t>DEF-013</t>
        </is>
      </c>
      <c r="B14" s="7" t="inlineStr">
        <is>
          <t>Rejestracja: po błędzie walidacji pole Telefon jest czyszczone</t>
        </is>
      </c>
      <c r="C14" s="7" t="inlineStr">
        <is>
          <t>2026-10-13</t>
        </is>
      </c>
      <c r="D14" s="7" t="inlineStr">
        <is>
          <t>A. Nowak</t>
        </is>
      </c>
      <c r="E14" s="7" t="inlineStr">
        <is>
          <t>BiletTO 1.0.0-rc1, http://localhost/biletto/rejestracja.php</t>
        </is>
      </c>
      <c r="F14" s="7" t="inlineStr">
        <is>
          <t>Windows 11 Pro 24H2, Chrome 141 (64-bit), 1920×1080; XAMPP 8.2.12; BiletTO 1.0.0-rc1</t>
        </is>
      </c>
      <c r="G14" s="7" t="inlineStr">
        <is>
          <t>Dane początkowe (install.php?reset=1); użytkownik niezalogowany; konto „1A” nie istnieje</t>
        </is>
      </c>
      <c r="H14" s="7" t="inlineStr">
        <is>
          <t>1. Otwórz stronę Rejestracja.
2. Wpisz: login 1A, e-mail x, telefon 12, wiek 12, hasło abc, powtórz abd, regulamin niezaznaczony.
3. Kliknij „Załóż konto”.</t>
        </is>
      </c>
      <c r="I14" s="7" t="inlineStr">
        <is>
          <t>Lista wszystkich błędów; pola Login, E-mail, Telefon i Wiek zachowują wpisane wartości (REQ-REJ-10).</t>
        </is>
      </c>
      <c r="J14" s="7" t="inlineStr">
        <is>
          <t>Lista 7 komunikatów poprawna; Login, E-mail i Wiek zachowane, pole Telefon puste. To samo przy jednym błędzie (np. tylko błędny telefon „60070080”).</t>
        </is>
      </c>
      <c r="K14" s="7" t="inlineStr">
        <is>
          <t>Niska</t>
        </is>
      </c>
      <c r="L14" s="7" t="inlineStr">
        <is>
          <t>Średni</t>
        </is>
      </c>
      <c r="M14" s="7" t="inlineStr">
        <is>
          <t>Zawsze</t>
        </is>
      </c>
      <c r="N14" s="7" t="inlineStr">
        <is>
          <t>Nowy</t>
        </is>
      </c>
      <c r="O14" s="7" t="inlineStr">
        <is>
          <t>TC-REJ-028, REQ-REJ-10</t>
        </is>
      </c>
      <c r="P14" s="7" t="inlineStr">
        <is>
          <t>DEF-013.png</t>
        </is>
      </c>
      <c r="Q14" s="7" t="inlineStr">
        <is>
          <t>Priorytet wyższy niż ważność: użytkownik poprawiający błędny telefon musi wpisywać go od nowa – częsta ścieżka w rejestracji.</t>
        </is>
      </c>
    </row>
  </sheetData>
  <autoFilter ref="A1:Q1"/>
  <dataValidations count="4">
    <dataValidation sqref="K2:K300" showDropDown="0" showInputMessage="1" showErrorMessage="1" allowBlank="1" errorTitle="Ważność" error="Wybierz wartość z listy rozwijanej." promptTitle="Ważność" prompt="Wybierz z listy" type="list">
      <formula1>"Krytyczna,Wysoka,Średnia,Niska"</formula1>
    </dataValidation>
    <dataValidation sqref="L2:L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  <dataValidation sqref="M2:M300" showDropDown="0" showInputMessage="1" showErrorMessage="1" allowBlank="1" errorTitle="Powtarzalność" error="Wybierz wartość z listy rozwijanej." promptTitle="Powtarzalność" prompt="Wybierz z listy" type="list">
      <formula1>"Zawsze,Czasami,Jednorazowo"</formula1>
    </dataValidation>
    <dataValidation sqref="N2:N300" showDropDown="0" showInputMessage="1" showErrorMessage="1" allowBlank="1" errorTitle="Status" error="Wybierz wartość z listy rozwijanej." promptTitle="Status" prompt="Wybierz z listy" type="list">
      <formula1>"Nowy,Otwarty,W naprawie,Naprawiony,Do retestu,Zamknięty,Odrzucony,Odroczony,Ponownie otwarty"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4" customWidth="1" min="4" max="4"/>
    <col width="52" customWidth="1" min="5" max="5"/>
    <col width="11" customWidth="1" min="6" max="6"/>
  </cols>
  <sheetData>
    <row r="1" ht="32" customHeight="1">
      <c r="A1" s="6" t="inlineStr">
        <is>
          <t>Nr</t>
        </is>
      </c>
      <c r="B1" s="6" t="inlineStr">
        <is>
          <t>Obszar</t>
        </is>
      </c>
      <c r="C1" s="6" t="inlineStr">
        <is>
          <t>Pozycja kontrolna (pytanie; „Tak” = OK)</t>
        </is>
      </c>
      <c r="D1" s="6" t="inlineStr">
        <is>
          <t>Wynik</t>
        </is>
      </c>
      <c r="E1" s="6" t="inlineStr">
        <is>
          <t>Uwagi / dowód</t>
        </is>
      </c>
      <c r="F1" s="6" t="inlineStr">
        <is>
          <t>ID defektu</t>
        </is>
      </c>
    </row>
    <row r="2">
      <c r="A2" s="7" t="inlineStr">
        <is>
          <t>CHK-01</t>
        </is>
      </c>
      <c r="B2" s="7" t="inlineStr">
        <is>
          <t>Funkcjonalność</t>
        </is>
      </c>
      <c r="C2" s="7" t="inlineStr">
        <is>
          <t>Czy poprawne dane (tomsmith / SuperSecretPassword!) logują do strefy /secure z komunikatem potwierdzenia?</t>
        </is>
      </c>
      <c r="D2" s="7" t="inlineStr">
        <is>
          <t>Tak</t>
        </is>
      </c>
      <c r="E2" s="7" t="inlineStr">
        <is>
          <t>Przekierowanie na /secure, komunikat „You logged into a secure area!”</t>
        </is>
      </c>
      <c r="F2" s="7" t="inlineStr"/>
    </row>
    <row r="3">
      <c r="A3" s="7" t="inlineStr">
        <is>
          <t>CHK-02</t>
        </is>
      </c>
      <c r="B3" s="7" t="inlineStr">
        <is>
          <t>Funkcjonalność</t>
        </is>
      </c>
      <c r="C3" s="7" t="inlineStr">
        <is>
          <t>Czy błędne hasło uniemożliwia zalogowanie i wyświetla komunikat błędu?</t>
        </is>
      </c>
      <c r="D3" s="7" t="inlineStr">
        <is>
          <t>Tak</t>
        </is>
      </c>
      <c r="E3" s="7" t="inlineStr">
        <is>
          <t>„Your password is invalid!”, pozostajemy na /login</t>
        </is>
      </c>
      <c r="F3" s="7" t="inlineStr"/>
    </row>
    <row r="4">
      <c r="A4" s="7" t="inlineStr">
        <is>
          <t>CHK-03</t>
        </is>
      </c>
      <c r="B4" s="7" t="inlineStr">
        <is>
          <t>Funkcjonalność</t>
        </is>
      </c>
      <c r="C4" s="7" t="inlineStr">
        <is>
          <t>Czy przycisk „Logout” wylogowuje i przenosi na stronę logowania z komunikatem?</t>
        </is>
      </c>
      <c r="D4" s="7" t="inlineStr">
        <is>
          <t>Tak</t>
        </is>
      </c>
      <c r="E4" s="7" t="inlineStr">
        <is>
          <t>„You logged out of the secure area!”</t>
        </is>
      </c>
      <c r="F4" s="7" t="inlineStr"/>
    </row>
    <row r="5">
      <c r="A5" s="7" t="inlineStr">
        <is>
          <t>CHK-04</t>
        </is>
      </c>
      <c r="B5" s="7" t="inlineStr">
        <is>
          <t>Bezpieczeństwo</t>
        </is>
      </c>
      <c r="C5" s="7" t="inlineStr">
        <is>
          <t>Czy bez zalogowania (także po wylogowaniu) wejście na /secure jest niemożliwe?</t>
        </is>
      </c>
      <c r="D5" s="7" t="inlineStr">
        <is>
          <t>Tak</t>
        </is>
      </c>
      <c r="E5" s="7" t="inlineStr">
        <is>
          <t>Przekierowanie na /login, „You must login to view the secure area!”</t>
        </is>
      </c>
      <c r="F5" s="7" t="inlineStr"/>
    </row>
    <row r="6">
      <c r="A6" s="7" t="inlineStr">
        <is>
          <t>CHK-05</t>
        </is>
      </c>
      <c r="B6" s="7" t="inlineStr">
        <is>
          <t>Bezpieczeństwo</t>
        </is>
      </c>
      <c r="C6" s="7" t="inlineStr">
        <is>
          <t>Czy pole hasła maskuje wpisywane znaki?</t>
        </is>
      </c>
      <c r="D6" s="7" t="inlineStr">
        <is>
          <t>Tak</t>
        </is>
      </c>
      <c r="E6" s="7" t="inlineStr">
        <is>
          <t>Pole typu password (kropki)</t>
        </is>
      </c>
      <c r="F6" s="7" t="inlineStr"/>
    </row>
    <row r="7">
      <c r="A7" s="7" t="inlineStr">
        <is>
          <t>CHK-06</t>
        </is>
      </c>
      <c r="B7" s="7" t="inlineStr">
        <is>
          <t>Bezpieczeństwo</t>
        </is>
      </c>
      <c r="C7" s="7" t="inlineStr">
        <is>
          <t>Czy strona logowania jest serwowana przez HTTPS (kłódka w pasku adresu)?</t>
        </is>
      </c>
      <c r="D7" s="7" t="inlineStr">
        <is>
          <t>Tak</t>
        </is>
      </c>
      <c r="E7" s="7" t="inlineStr">
        <is>
          <t>https://the-internet.herokuapp.com/login</t>
        </is>
      </c>
      <c r="F7" s="7" t="inlineStr"/>
    </row>
    <row r="8">
      <c r="A8" s="7" t="inlineStr">
        <is>
          <t>CHK-07</t>
        </is>
      </c>
      <c r="B8" s="7" t="inlineStr">
        <is>
          <t>Bezpieczeństwo</t>
        </is>
      </c>
      <c r="C8" s="7" t="inlineStr">
        <is>
          <t>Czy komunikat o błędzie NIE ujawnia, które pole (login czy hasło) jest błędne?</t>
        </is>
      </c>
      <c r="D8" s="7" t="inlineStr">
        <is>
          <t>Nie</t>
        </is>
      </c>
      <c r="E8" s="7" t="inlineStr">
        <is>
          <t>Różne komunikaty: „Your username is invalid!” / „Your password is invalid!”</t>
        </is>
      </c>
      <c r="F8" s="7" t="inlineStr">
        <is>
          <t>DEF-006</t>
        </is>
      </c>
    </row>
    <row r="9">
      <c r="A9" s="7" t="inlineStr">
        <is>
          <t>CHK-08</t>
        </is>
      </c>
      <c r="B9" s="7" t="inlineStr">
        <is>
          <t>Bezpieczeństwo</t>
        </is>
      </c>
      <c r="C9" s="7" t="inlineStr">
        <is>
          <t>Czy po kilku (np. 5) kolejnych nieudanych próbach logowanie jest ograniczane (blokada, opóźnienie, CAPTCHA)?</t>
        </is>
      </c>
      <c r="D9" s="7" t="inlineStr">
        <is>
          <t>Nie</t>
        </is>
      </c>
      <c r="E9" s="7" t="inlineStr">
        <is>
          <t>10 kolejnych błędnych prób bez ograniczeń. Brak wymagania – zgłoszone jako pytanie do właściciela produktu, nie jako defekt.</t>
        </is>
      </c>
      <c r="F9" s="7" t="inlineStr"/>
    </row>
    <row r="10">
      <c r="A10" s="7" t="inlineStr">
        <is>
          <t>CHK-09</t>
        </is>
      </c>
      <c r="B10" s="7" t="inlineStr">
        <is>
          <t>Użyteczność / dostępność</t>
        </is>
      </c>
      <c r="C10" s="7" t="inlineStr">
        <is>
          <t>Czy każde pole ma widoczną etykietę powiązaną z polem (kliknięcie etykiety ustawia kursor w polu)?</t>
        </is>
      </c>
      <c r="D10" s="7" t="inlineStr">
        <is>
          <t>Tak</t>
        </is>
      </c>
      <c r="E10" s="7" t="inlineStr">
        <is>
          <t>Etykiety Username i Password (label for)</t>
        </is>
      </c>
      <c r="F10" s="7" t="inlineStr"/>
    </row>
    <row r="11">
      <c r="A11" s="7" t="inlineStr">
        <is>
          <t>CHK-10</t>
        </is>
      </c>
      <c r="B11" s="7" t="inlineStr">
        <is>
          <t>Użyteczność</t>
        </is>
      </c>
      <c r="C11" s="7" t="inlineStr">
        <is>
          <t>Czy formularz można wysłać klawiszem Enter?</t>
        </is>
      </c>
      <c r="D11" s="7" t="inlineStr">
        <is>
          <t>Tak</t>
        </is>
      </c>
      <c r="E11" s="7" t="inlineStr">
        <is>
          <t>Enter w polu Password wysyła formularz</t>
        </is>
      </c>
      <c r="F11" s="7" t="inlineStr"/>
    </row>
    <row r="12">
      <c r="A12" s="7" t="inlineStr">
        <is>
          <t>CHK-11</t>
        </is>
      </c>
      <c r="B12" s="7" t="inlineStr">
        <is>
          <t>Użyteczność</t>
        </is>
      </c>
      <c r="C12" s="7" t="inlineStr">
        <is>
          <t>Czy po nieudanym logowaniu wpisana nazwa użytkownika pozostaje w polu?</t>
        </is>
      </c>
      <c r="D12" s="7" t="inlineStr">
        <is>
          <t>Nie</t>
        </is>
      </c>
      <c r="E12" s="7" t="inlineStr">
        <is>
          <t>Oba pola są czyszczone – użytkownik musi wpisać login ponownie (niedogodność, sugestia usprawnienia)</t>
        </is>
      </c>
      <c r="F12" s="7" t="inlineStr"/>
    </row>
    <row r="13">
      <c r="A13" s="7" t="inlineStr">
        <is>
          <t>CHK-12</t>
        </is>
      </c>
      <c r="B13" s="7" t="inlineStr">
        <is>
          <t>Użyteczność</t>
        </is>
      </c>
      <c r="C13" s="7" t="inlineStr">
        <is>
          <t>Czy po załadowaniu strony kursor jest automatycznie w polu Username?</t>
        </is>
      </c>
      <c r="D13" s="7" t="inlineStr">
        <is>
          <t>Nie</t>
        </is>
      </c>
      <c r="E13" s="7" t="inlineStr">
        <is>
          <t>Brak automatycznego fokusu (drobna niedogodność)</t>
        </is>
      </c>
      <c r="F13" s="7" t="inlineStr"/>
    </row>
    <row r="14">
      <c r="A14" s="7" t="inlineStr">
        <is>
          <t>CHK-13</t>
        </is>
      </c>
      <c r="B14" s="7" t="inlineStr">
        <is>
          <t>Użyteczność</t>
        </is>
      </c>
      <c r="C14" s="7" t="inlineStr">
        <is>
          <t>Czy komunikat (zielony/czerwony) można zamknąć przyciskiem „×”?</t>
        </is>
      </c>
      <c r="D14" s="7" t="inlineStr">
        <is>
          <t>Tak</t>
        </is>
      </c>
      <c r="E14" s="7" t="inlineStr"/>
      <c r="F14" s="7" t="inlineStr"/>
    </row>
    <row r="15">
      <c r="A15" s="7" t="inlineStr">
        <is>
          <t>CHK-14</t>
        </is>
      </c>
      <c r="B15" s="7" t="inlineStr">
        <is>
          <t>Użyteczność</t>
        </is>
      </c>
      <c r="C15" s="7" t="inlineStr">
        <is>
          <t>Czy strona zawiera odnośnik „Forgot password?” (odzyskiwanie hasła)?</t>
        </is>
      </c>
      <c r="D15" s="7" t="inlineStr">
        <is>
          <t>Nie</t>
        </is>
      </c>
      <c r="E15" s="7" t="inlineStr">
        <is>
          <t>Brak odnośnika (strona /forgot_password istnieje, ale nie jest podlinkowana). Brak wymagania – sugestia.</t>
        </is>
      </c>
      <c r="F15" s="7" t="inlineStr"/>
    </row>
    <row r="16">
      <c r="A16" s="7" t="inlineStr">
        <is>
          <t>CHK-15</t>
        </is>
      </c>
      <c r="B16" s="7" t="inlineStr">
        <is>
          <t>Zawartość</t>
        </is>
      </c>
      <c r="C16" s="7" t="inlineStr">
        <is>
          <t>Czy tytuł strony (karta przeglądarki) opisuje bieżącą stronę?</t>
        </is>
      </c>
      <c r="D16" s="7" t="inlineStr">
        <is>
          <t>Nie</t>
        </is>
      </c>
      <c r="E16" s="7" t="inlineStr">
        <is>
          <t>Tytuł „The Internet” – identyczny na wszystkich stronach serwisu</t>
        </is>
      </c>
      <c r="F16" s="7" t="inlineStr"/>
    </row>
    <row r="17">
      <c r="A17" s="7" t="inlineStr">
        <is>
          <t>CHK-16</t>
        </is>
      </c>
      <c r="B17" s="7" t="inlineStr">
        <is>
          <t>Zawartość</t>
        </is>
      </c>
      <c r="C17" s="7" t="inlineStr">
        <is>
          <t>Czy teksty na stronie są wolne od literówek i błędów językowych?</t>
        </is>
      </c>
      <c r="D17" s="7" t="inlineStr">
        <is>
          <t>Tak</t>
        </is>
      </c>
      <c r="E17" s="7" t="inlineStr"/>
      <c r="F17" s="7" t="inlineStr"/>
    </row>
    <row r="18">
      <c r="A18" s="7" t="inlineStr">
        <is>
          <t>CHK-17</t>
        </is>
      </c>
      <c r="B18" s="7" t="inlineStr">
        <is>
          <t>Kompatybilność</t>
        </is>
      </c>
      <c r="C18" s="7" t="inlineStr">
        <is>
          <t>Czy strona działa poprawnie w drugiej przeglądarce (Microsoft Edge)?</t>
        </is>
      </c>
      <c r="D18" s="7" t="inlineStr">
        <is>
          <t>Nie sprawdzono</t>
        </is>
      </c>
      <c r="E18" s="7" t="inlineStr">
        <is>
          <t>Do wykonania na stanowisku laboratoryjnym (Edge jest w Windows 11)</t>
        </is>
      </c>
      <c r="F18" s="7" t="inlineStr"/>
    </row>
  </sheetData>
  <autoFilter ref="A1:F1"/>
  <dataValidations count="1">
    <dataValidation sqref="D2:D300" showDropDown="0" showInputMessage="1" showErrorMessage="1" allowBlank="1" errorTitle="Wynik" error="Wybierz wartość z listy rozwijanej." promptTitle="Wynik" prompt="Wybierz z listy" type="list">
      <formula1>"Tak,Nie,Nie dotyczy,Nie sprawdzono"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80" customWidth="1" min="3" max="3"/>
  </cols>
  <sheetData>
    <row r="1" ht="32" customHeight="1">
      <c r="A1" s="6" t="inlineStr">
        <is>
          <t>Pozycja</t>
        </is>
      </c>
      <c r="B1" s="6" t="inlineStr">
        <is>
          <t>Wartość</t>
        </is>
      </c>
      <c r="C1" s="6" t="inlineStr">
        <is>
          <t>Komentarz</t>
        </is>
      </c>
    </row>
    <row r="2">
      <c r="A2" s="8" t="inlineStr">
        <is>
          <t>IDENTYFIKACJA</t>
        </is>
      </c>
      <c r="B2" s="9" t="n"/>
      <c r="C2" s="9" t="n"/>
    </row>
    <row r="3">
      <c r="A3" s="10" t="inlineStr">
        <is>
          <t>Identyfikator raportu</t>
        </is>
      </c>
      <c r="B3" s="7" t="inlineStr">
        <is>
          <t>RWT-BiletTO-01</t>
        </is>
      </c>
      <c r="C3" s="7" t="inlineStr">
        <is>
          <t>SYMULACJA – wyniki wykonania są fikcyjne (aplikacja BiletTO nie istnieje); materiał do omówienia na zajęciach.</t>
        </is>
      </c>
    </row>
    <row r="4">
      <c r="A4" s="10" t="inlineStr">
        <is>
          <t>Obiekt testów</t>
        </is>
      </c>
      <c r="B4" s="7" t="inlineStr">
        <is>
          <t>BiletTO 1.0.0-rc1 (build 2026-10-12), retest na 1.0.0-rc2 (build 2026-10-15); the-internet /login</t>
        </is>
      </c>
      <c r="C4" s="7" t="inlineStr"/>
    </row>
    <row r="5">
      <c r="A5" s="10" t="inlineStr">
        <is>
          <t>Okres testów</t>
        </is>
      </c>
      <c r="B5" s="7" t="inlineStr">
        <is>
          <t>2026-10-13 – 2026-10-15</t>
        </is>
      </c>
      <c r="C5" s="7" t="inlineStr"/>
    </row>
    <row r="6">
      <c r="A6" s="10" t="inlineStr">
        <is>
          <t>Autor</t>
        </is>
      </c>
      <c r="B6" s="7" t="inlineStr">
        <is>
          <t>A. Nowak, B. Wiśniewska</t>
        </is>
      </c>
      <c r="C6" s="7" t="inlineStr"/>
    </row>
    <row r="7">
      <c r="A7" s="8" t="inlineStr">
        <is>
          <t>PRZYPADKI TESTOWE</t>
        </is>
      </c>
      <c r="B7" s="9" t="n"/>
      <c r="C7" s="9" t="n"/>
    </row>
    <row r="8">
      <c r="A8" s="10" t="inlineStr">
        <is>
          <t>Zaprojektowane przypadki testowe</t>
        </is>
      </c>
      <c r="B8" s="7">
        <f>COUNTA('Przypadki testowe'!A2:A300)</f>
        <v/>
      </c>
      <c r="C8" s="7" t="inlineStr"/>
    </row>
    <row r="9">
      <c r="A9" s="10" t="inlineStr">
        <is>
          <t>Zaliczone</t>
        </is>
      </c>
      <c r="B9" s="7">
        <f>COUNTIF('Przypadki testowe'!K2:K300,"Zaliczony")</f>
        <v/>
      </c>
      <c r="C9" s="7" t="inlineStr"/>
    </row>
    <row r="10">
      <c r="A10" s="10" t="inlineStr">
        <is>
          <t>Niezaliczone</t>
        </is>
      </c>
      <c r="B10" s="7">
        <f>COUNTIF('Przypadki testowe'!K2:K300,"Niezaliczony")</f>
        <v/>
      </c>
      <c r="C10" s="7" t="inlineStr"/>
    </row>
    <row r="11">
      <c r="A11" s="10" t="inlineStr">
        <is>
          <t>Zablokowane</t>
        </is>
      </c>
      <c r="B11" s="7">
        <f>COUNTIF('Przypadki testowe'!K2:K300,"Zablokowany")</f>
        <v/>
      </c>
      <c r="C11" s="7" t="inlineStr"/>
    </row>
    <row r="12">
      <c r="A12" s="10" t="inlineStr">
        <is>
          <t>Pominięte</t>
        </is>
      </c>
      <c r="B12" s="7">
        <f>COUNTIF('Przypadki testowe'!K2:K300,"Pominięty")</f>
        <v/>
      </c>
      <c r="C12" s="7" t="inlineStr"/>
    </row>
    <row r="13">
      <c r="A13" s="10" t="inlineStr">
        <is>
          <t>Nie wykonano</t>
        </is>
      </c>
      <c r="B13" s="7">
        <f>COUNTIF('Przypadki testowe'!K2:K300,"Nie wykonano")</f>
        <v/>
      </c>
      <c r="C13" s="7" t="inlineStr"/>
    </row>
    <row r="14">
      <c r="A14" s="10" t="inlineStr">
        <is>
          <t>% wykonanych (zaliczone + niezaliczone)</t>
        </is>
      </c>
      <c r="B14" s="11">
        <f>IFERROR((B9+B10)/B8,0)</f>
        <v/>
      </c>
      <c r="C14" s="7" t="inlineStr"/>
    </row>
    <row r="15">
      <c r="A15" s="10" t="inlineStr">
        <is>
          <t>% zaliczonych spośród wykonanych</t>
        </is>
      </c>
      <c r="B15" s="11">
        <f>IFERROR(B9/(B9+B10),0)</f>
        <v/>
      </c>
      <c r="C15" s="7" t="inlineStr"/>
    </row>
    <row r="16">
      <c r="A16" s="8" t="inlineStr">
        <is>
          <t>WYMAGANIA (MACIERZ ŚLEDZENIA)</t>
        </is>
      </c>
      <c r="B16" s="9" t="n"/>
      <c r="C16" s="9" t="n"/>
    </row>
    <row r="17">
      <c r="A17" s="10" t="inlineStr">
        <is>
          <t>Wymagania w macierzy</t>
        </is>
      </c>
      <c r="B17" s="7">
        <f>COUNTA('Macierz śledzenia'!A2:A300)</f>
        <v/>
      </c>
      <c r="C17" s="7" t="inlineStr"/>
    </row>
    <row r="18">
      <c r="A18" s="10" t="inlineStr">
        <is>
          <t>Wymagania pokryte przypadkami</t>
        </is>
      </c>
      <c r="B18" s="7">
        <f>COUNTIF('Macierz śledzenia'!H2:H300,"Pokryte")</f>
        <v/>
      </c>
      <c r="C18" s="7" t="inlineStr"/>
    </row>
    <row r="19">
      <c r="A19" s="10" t="inlineStr">
        <is>
          <t>% pokrycia wymagań</t>
        </is>
      </c>
      <c r="B19" s="11">
        <f>IFERROR(B18/B17,0)</f>
        <v/>
      </c>
      <c r="C19" s="7" t="inlineStr"/>
    </row>
    <row r="20">
      <c r="A20" s="8" t="inlineStr">
        <is>
          <t>LISTA KONTROLNA</t>
        </is>
      </c>
      <c r="B20" s="9" t="n"/>
      <c r="C20" s="9" t="n"/>
    </row>
    <row r="21">
      <c r="A21" s="10" t="inlineStr">
        <is>
          <t>Pozycje listy kontrolnej</t>
        </is>
      </c>
      <c r="B21" s="7">
        <f>COUNTA('Lista kontrolna'!A2:A300)</f>
        <v/>
      </c>
      <c r="C21" s="7" t="inlineStr"/>
    </row>
    <row r="22">
      <c r="A22" s="10" t="inlineStr">
        <is>
          <t>Wynik „Tak”</t>
        </is>
      </c>
      <c r="B22" s="7">
        <f>COUNTIF('Lista kontrolna'!D2:D300,"Tak")</f>
        <v/>
      </c>
      <c r="C22" s="7" t="inlineStr"/>
    </row>
    <row r="23">
      <c r="A23" s="10" t="inlineStr">
        <is>
          <t>Wynik „Nie”</t>
        </is>
      </c>
      <c r="B23" s="7">
        <f>COUNTIF('Lista kontrolna'!D2:D300,"Nie")</f>
        <v/>
      </c>
      <c r="C23" s="7" t="inlineStr"/>
    </row>
    <row r="24">
      <c r="A24" s="10" t="inlineStr">
        <is>
          <t>Nie dotyczy / nie sprawdzono</t>
        </is>
      </c>
      <c r="B24" s="7">
        <f>COUNTIF('Lista kontrolna'!D2:D300,"Nie dotyczy")+COUNTIF('Lista kontrolna'!D2:D300,"Nie sprawdzono")</f>
        <v/>
      </c>
      <c r="C24" s="7" t="inlineStr"/>
    </row>
    <row r="25">
      <c r="A25" s="8" t="inlineStr">
        <is>
          <t>DEFEKTY</t>
        </is>
      </c>
      <c r="B25" s="9" t="n"/>
      <c r="C25" s="9" t="n"/>
    </row>
    <row r="26">
      <c r="A26" s="10" t="inlineStr">
        <is>
          <t>Zgłoszone defekty</t>
        </is>
      </c>
      <c r="B26" s="7">
        <f>COUNTA('Raporty defektów'!A2:A300)</f>
        <v/>
      </c>
      <c r="C26" s="7" t="inlineStr">
        <is>
          <t>W tym 6 z sesji/listy na the-internet (DEF-001 – DEF-006) i 7 z wykonania testów BiletTO (DEF-007 – DEF-013).</t>
        </is>
      </c>
    </row>
    <row r="27">
      <c r="A27" s="10" t="inlineStr">
        <is>
          <t>– krytyczne</t>
        </is>
      </c>
      <c r="B27" s="7">
        <f>COUNTIF('Raporty defektów'!K2:K300,"Krytyczna")</f>
        <v/>
      </c>
      <c r="C27" s="7" t="inlineStr"/>
    </row>
    <row r="28">
      <c r="A28" s="10" t="inlineStr">
        <is>
          <t>– wysokie</t>
        </is>
      </c>
      <c r="B28" s="7">
        <f>COUNTIF('Raporty defektów'!K2:K300,"Wysoka")</f>
        <v/>
      </c>
      <c r="C28" s="7" t="inlineStr"/>
    </row>
    <row r="29">
      <c r="A29" s="10" t="inlineStr">
        <is>
          <t>– średnie</t>
        </is>
      </c>
      <c r="B29" s="7">
        <f>COUNTIF('Raporty defektów'!K2:K300,"Średnia")</f>
        <v/>
      </c>
      <c r="C29" s="7" t="inlineStr"/>
    </row>
    <row r="30">
      <c r="A30" s="10" t="inlineStr">
        <is>
          <t>– niskie</t>
        </is>
      </c>
      <c r="B30" s="7">
        <f>COUNTIF('Raporty defektów'!K2:K300,"Niska")</f>
        <v/>
      </c>
      <c r="C30" s="7" t="inlineStr"/>
    </row>
    <row r="31">
      <c r="A31" s="10" t="inlineStr">
        <is>
          <t>Otwarte (bez Zamknięty i Odrzucony)</t>
        </is>
      </c>
      <c r="B31" s="7">
        <f>B26-COUNTIF('Raporty defektów'!N2:N300,"Zamknięty")-COUNTIF('Raporty defektów'!N2:N300,"Odrzucony")</f>
        <v/>
      </c>
      <c r="C31" s="7" t="inlineStr">
        <is>
          <t>DEF-009 zamknięty, DEF-012 odrzucony (zmiana wymagania).</t>
        </is>
      </c>
    </row>
    <row r="32">
      <c r="A32" s="8" t="inlineStr">
        <is>
          <t>OCENA</t>
        </is>
      </c>
      <c r="B32" s="9" t="n"/>
      <c r="C32" s="9" t="n"/>
    </row>
    <row r="33">
      <c r="A33" s="10" t="inlineStr">
        <is>
          <t>Zakres wykonanych prac i odstępstwa od planu</t>
        </is>
      </c>
      <c r="B33" s="7" t="inlineStr"/>
      <c r="C33" s="7" t="inlineStr">
        <is>
          <t>Wykonano 44 z 46 przypadków na BiletTO 1.0.0-rc1 (rejestracja – A. Nowak, kalkulator – B. Wiśniewska) oraz retesty po naprawach na rc2 (TC-CEN-004, -008, -009, -016). Odstępstwa od planu: TC-CEN-015 pominięty (pole typu number – test walidacji serwerowej przeniesiony do testów API), TC-CEN-018 zablokowany (brak wyroczni – metoda zaokrąglania). Rejestracja dla wieku 14 sprawdzona dodatkowo przy analizie DEF-007. Lista kontrolna i sesja eksploracyjna na the-internet – bez zmian względem ćw. 1 (DEF-001 – DEF-006).</t>
        </is>
      </c>
    </row>
    <row r="34">
      <c r="A34" s="10" t="inlineStr">
        <is>
          <t>Najważniejsze problemy i ryzyka</t>
        </is>
      </c>
      <c r="B34" s="7" t="inlineStr"/>
      <c r="C34" s="7" t="inlineStr">
        <is>
          <t>BiletTO: 7 defektów (DEF-007 – DEF-013), w tym 4 o ważności Wysoka. Otwarte wysokie: DEF-007 (konta osób 15-letnich – ryzyko prawne), DEF-010 (płatna dostawa mimo progu 500 zł – ponownie otwarty po niepełnej poprawce), DEF-011 (limit 10 biletów zamiast 6 – ryzyko wykupu przez pośredników). DEF-009 (sumowanie rabatów) naprawiony i zamknięty. Otwarte pytanie Q-01: metoda zaokrąglania (REQ-CEN-07). Obszary nieprzetestowane: LOG, ZAM, KON, UI.</t>
        </is>
      </c>
    </row>
    <row r="35">
      <c r="A35" s="10" t="inlineStr">
        <is>
          <t>Kryteria wyjścia spełnione?</t>
        </is>
      </c>
      <c r="B35" s="7" t="inlineStr">
        <is>
          <t>Nie</t>
        </is>
      </c>
      <c r="C35" s="7" t="inlineStr">
        <is>
          <t>Pokrycie wymagań REJ i CEN – spełnione (wszystkie poza REQ-REJ-01). Wykonanie: 100% przypadków o priorytecie Wysoki wykonanych, 44/46 = 96% wszystkich (próg 90% spełniony). Kryterium „brak otwartych defektów Krytyczna/Wysoka” NIE jest spełnione (DEF-007, DEF-010, DEF-011).</t>
        </is>
      </c>
    </row>
    <row r="36">
      <c r="A36" s="10" t="inlineStr">
        <is>
          <t>Rekomendacja</t>
        </is>
      </c>
      <c r="B36" s="7" t="inlineStr"/>
      <c r="C36" s="7" t="inlineStr">
        <is>
          <t>Nie wydawać wersji 1.0.0-rc2. Przed wydaniem naprawić DEF-007, DEF-010 i DEF-011, a następnie wykonać retesty oraz regresję wszystkich TC-CEN. DEF-008 i DEF-013 – do naprawy w tym samym cyklu (niski koszt). Uzyskać decyzję w sprawie Q-01 i zaktualizować REQ-REJ-05 (DEF-012).</t>
        </is>
      </c>
    </row>
    <row r="37">
      <c r="A37" s="10" t="inlineStr">
        <is>
          <t>Wnioski na przyszłość (lessons learned)</t>
        </is>
      </c>
      <c r="B37" s="7" t="inlineStr"/>
      <c r="C37" s="7" t="inlineStr">
        <is>
          <t>Poprawki reguł cenowych retestować całą klasą przypadków (TC-CEN-008 i -009), nie tylko przypadkiem, który wykrył defekt – inaczej poprawka DEF-010 zostałaby uznana za kompletną. Przy wartościach brzegowych sprawdzać też wartość za granicą po drugiej stronie (wiek 14 i 15, liczba biletów 7, 10, 11). Wymagania z pustą wyrocznią (zaokrąglanie) wyjaśniać przed wykonaniem testów.</t>
        </is>
      </c>
    </row>
  </sheetData>
  <autoFilter ref="A1:C1"/>
  <dataValidations count="1">
    <dataValidation sqref="B35" showDropDown="0" showInputMessage="1" showErrorMessage="1" allowBlank="1" errorTitle="Kryteria wyjścia" error="Wybierz wartość z listy rozwijanej." promptTitle="Kryteria wyjścia" prompt="Wybierz z listy" type="list">
      <formula1>"Tak,Nie,Częściowo"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2026-09-27T06:27:38Z</dcterms:created>
  <dcterms:modified xmlns:dcterms="http://purl.org/dc/terms/" xmlns:xsi="http://www.w3.org/2001/XMLSchema-instance" xsi:type="dcterms:W3CDTF">2026-10-09T20:53:53Z</dcterms:modified>
</cp:coreProperties>
</file>